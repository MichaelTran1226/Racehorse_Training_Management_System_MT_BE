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2c59f8a0a49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ân công" sheetId="1" r:id="R3d6fca40ad7a47ff"/>
    <x:sheet xmlns:r="http://schemas.openxmlformats.org/officeDocument/2006/relationships" name="Chi tiết theo luồng" sheetId="2" r:id="R48b5bb867c754b5d"/>
    <x:sheet xmlns:r="http://schemas.openxmlformats.org/officeDocument/2006/relationships" name="Tổng quan" sheetId="3" r:id="R88a8480757354d7a"/>
    <x:sheet xmlns:r="http://schemas.openxmlformats.org/officeDocument/2006/relationships" name="Thành viên" sheetId="4" r:id="R7ef1a4ca5b804a65"/>
    <x:sheet xmlns:r="http://schemas.openxmlformats.org/officeDocument/2006/relationships" name="Điểm nối" sheetId="5" r:id="R8a22b56d79424b99"/>
  </x:sheets>
</x:workbook>
</file>

<file path=xl/sharedStrings.xml><?xml version="1.0" encoding="utf-8"?>
<x:sst xmlns:x="http://schemas.openxmlformats.org/spreadsheetml/2006/main">
  <x:si>
    <x:t xml:space="preserve">Mã</x:t>
  </x:si>
  <x:si>
    <x:t xml:space="preserve">Task</x:t>
  </x:si>
  <x:si>
    <x:t xml:space="preserve">Cặp</x:t>
  </x:si>
  <x:si>
    <x:t xml:space="preserve">FE phụ trách</x:t>
  </x:si>
  <x:si>
    <x:t xml:space="preserve">BE phụ trách</x:t>
  </x:si>
  <x:si>
    <x:t xml:space="preserve">Sprint</x:t>
  </x:si>
  <x:si>
    <x:t xml:space="preserve">Bắt đầu</x:t>
  </x:si>
  <x:si>
    <x:t xml:space="preserve">Kết thúc</x:t>
  </x:si>
  <x:si>
    <x:t xml:space="preserve">Priority</x:t>
  </x:si>
  <x:si>
    <x:t xml:space="preserve">Chức năng (FR Tai_Lieu)</x:t>
  </x:si>
  <x:si>
    <x:t xml:space="preserve">Issue</x:t>
  </x:si>
  <x:si>
    <x:t xml:space="preserve">Trạng thái</x:t>
  </x:si>
  <x:si>
    <x:t xml:space="preserve">C-01</x:t>
  </x:si>
  <x:si>
    <x:t xml:space="preserve">Nền tảng FE: design tokens, Master layout &amp; routing</x:t>
  </x:si>
  <x:si>
    <x:t xml:space="preserve">Chung</x:t>
  </x:si>
  <x:si>
    <x:t xml:space="preserve">Sprint 1</x:t>
  </x:si>
  <x:si>
    <x:t xml:space="preserve">P0 Critical</x:t>
  </x:si>
  <x:si>
    <x:t xml:space="preserve">Nền tảng FE</x:t>
  </x:si>
  <x:si>
    <x:t xml:space="preserve">#31</x:t>
  </x:si>
  <x:si>
    <x:t xml:space="preserve">Todo</x:t>
  </x:si>
  <x:si>
    <x:t xml:space="preserve">P1-01</x:t>
  </x:si>
  <x:si>
    <x:t xml:space="preserve">Đăng nhập, JWT &amp; điều hướng 5 vai trò</x:t>
  </x:si>
  <x:si>
    <x:t xml:space="preserve">Cặp 1</x:t>
  </x:si>
  <x:si>
    <x:t xml:space="preserve">Auth (không có trong TaiLieu)</x:t>
  </x:si>
  <x:si>
    <x:t xml:space="preserve">#32</x:t>
  </x:si>
  <x:si>
    <x:t xml:space="preserve">P1-02</x:t>
  </x:si>
  <x:si>
    <x:t xml:space="preserve">Đăng ký Chủ ngựa &amp; xác thực OTP email</x:t>
  </x:si>
  <x:si>
    <x:t xml:space="preserve">#33</x:t>
  </x:si>
  <x:si>
    <x:t xml:space="preserve">P1-03</x:t>
  </x:si>
  <x:si>
    <x:t xml:space="preserve">Quên &amp; đặt lại mật khẩu</x:t>
  </x:si>
  <x:si>
    <x:t xml:space="preserve">#34</x:t>
  </x:si>
  <x:si>
    <x:t xml:space="preserve">P1-04</x:t>
  </x:si>
  <x:si>
    <x:t xml:space="preserve">Mời nhân sự nội bộ &amp; danh sách nhân sự</x:t>
  </x:si>
  <x:si>
    <x:t xml:space="preserve">#35</x:t>
  </x:si>
  <x:si>
    <x:t xml:space="preserve">P1-05</x:t>
  </x:si>
  <x:si>
    <x:t xml:space="preserve">RBAC 5 vai trò, route guard &amp; cách ly dữ liệu Chủ ngựa</x:t>
  </x:si>
  <x:si>
    <x:t xml:space="preserve">#36</x:t>
  </x:si>
  <x:si>
    <x:t xml:space="preserve">P1-06</x:t>
  </x:si>
  <x:si>
    <x:t xml:space="preserve">Nhật ký kiểm toán (Audit trail)</x:t>
  </x:si>
  <x:si>
    <x:t xml:space="preserve">#37</x:t>
  </x:si>
  <x:si>
    <x:t xml:space="preserve">P1-07</x:t>
  </x:si>
  <x:si>
    <x:t xml:space="preserve">Danh sách, tạo/sửa, chi tiết hồ sơ ngựa (6 tab)</x:t>
  </x:si>
  <x:si>
    <x:t xml:space="preserve">Sprint 2</x:t>
  </x:si>
  <x:si>
    <x:t xml:space="preserve">P1 High</x:t>
  </x:si>
  <x:si>
    <x:t xml:space="preserve">FR-1.01, FR-1.02, FR-1.03, FR-1.04, FR-1.26</x:t>
  </x:si>
  <x:si>
    <x:t xml:space="preserve">#38</x:t>
  </x:si>
  <x:si>
    <x:t xml:space="preserve">P1-08</x:t>
  </x:si>
  <x:si>
    <x:t xml:space="preserve">Trạng thái ngựa, nhóm y tế, badge/banner Khóa huấn luyện, lịch sử trạng thái</x:t>
  </x:si>
  <x:si>
    <x:t xml:space="preserve">FR-1.05, FR-1.06, FR-1.07, FR-1.17</x:t>
  </x:si>
  <x:si>
    <x:t xml:space="preserve">#39</x:t>
  </x:si>
  <x:si>
    <x:t xml:space="preserve">P1-09</x:t>
  </x:si>
  <x:si>
    <x:t xml:space="preserve">Sơ đồ chuồng trại, gán/chuyển/trả ô, danh mục khu &amp; ô chuồng</x:t>
  </x:si>
  <x:si>
    <x:t xml:space="preserve">FR-1.09, FR-1.10, FR-1.11, FR-1.12, FR-1.18, FR-1.24</x:t>
  </x:si>
  <x:si>
    <x:t xml:space="preserve">#40</x:t>
  </x:si>
  <x:si>
    <x:t xml:space="preserve">P1-10</x:t>
  </x:si>
  <x:si>
    <x:t xml:space="preserve">Nhân viên chăm sóc, lịch sinh hoạt hằng ngày &amp; lịch mẫu</x:t>
  </x:si>
  <x:si>
    <x:t xml:space="preserve">Sprint 3</x:t>
  </x:si>
  <x:si>
    <x:t xml:space="preserve">FR-1.13, FR-1.14, FR-1.15, FR-1.25</x:t>
  </x:si>
  <x:si>
    <x:t xml:space="preserve">#41</x:t>
  </x:si>
  <x:si>
    <x:t xml:space="preserve">P1-11</x:t>
  </x:si>
  <x:si>
    <x:t xml:space="preserve">Chủ sở hữu, ngừng quản lý/kích hoạt lại, xóa mềm &amp; khôi phục</x:t>
  </x:si>
  <x:si>
    <x:t xml:space="preserve">P3 Low</x:t>
  </x:si>
  <x:si>
    <x:t xml:space="preserve">FR-1.08, FR-1.16, FR-1.20, FR-1.21</x:t>
  </x:si>
  <x:si>
    <x:t xml:space="preserve">#42</x:t>
  </x:si>
  <x:si>
    <x:t xml:space="preserve">P1-12</x:t>
  </x:si>
  <x:si>
    <x:t xml:space="preserve">Danh mục Giống &amp; Màu lông</x:t>
  </x:si>
  <x:si>
    <x:t xml:space="preserve">FR-1.22, FR-1.23</x:t>
  </x:si>
  <x:si>
    <x:t xml:space="preserve">#43</x:t>
  </x:si>
  <x:si>
    <x:t xml:space="preserve">P1-13</x:t>
  </x:si>
  <x:si>
    <x:t xml:space="preserve">Dòng thời gian vòng đời ngựa</x:t>
  </x:si>
  <x:si>
    <x:t xml:space="preserve">FR-1.19</x:t>
  </x:si>
  <x:si>
    <x:t xml:space="preserve">#44</x:t>
  </x:si>
  <x:si>
    <x:t xml:space="preserve">P1-14</x:t>
  </x:si>
  <x:si>
    <x:t xml:space="preserve">Sơ đồ sức khỏe đàn ngựa 4 mã màu</x:t>
  </x:si>
  <x:si>
    <x:t xml:space="preserve">FR-3.01</x:t>
  </x:si>
  <x:si>
    <x:t xml:space="preserve">#45</x:t>
  </x:si>
  <x:si>
    <x:t xml:space="preserve">P2-01</x:t>
  </x:si>
  <x:si>
    <x:t xml:space="preserve">Hồ sơ y tế ngựa (6 tab), ghi chú quan sát, quyền xem Owner/Groom</x:t>
  </x:si>
  <x:si>
    <x:t xml:space="preserve">Cặp 2</x:t>
  </x:si>
  <x:si>
    <x:t xml:space="preserve">FR-3.02, FR-3.17, FR-3.18</x:t>
  </x:si>
  <x:si>
    <x:t xml:space="preserve">#46</x:t>
  </x:si>
  <x:si>
    <x:t xml:space="preserve">P2-02</x:t>
  </x:si>
  <x:si>
    <x:t xml:space="preserve">Bệnh án, phác đồ điều trị &amp; kê đơn thuốc</x:t>
  </x:si>
  <x:si>
    <x:t xml:space="preserve">FR-3.03, FR-3.04, FR-3.05, FR-3.06, FR-3.07, FR-3.20</x:t>
  </x:si>
  <x:si>
    <x:t xml:space="preserve">#47</x:t>
  </x:si>
  <x:si>
    <x:t xml:space="preserve">P2-03</x:t>
  </x:si>
  <x:si>
    <x:t xml:space="preserve">Mô hình chấn thương 2D &amp; tiến trình hồi phục</x:t>
  </x:si>
  <x:si>
    <x:t xml:space="preserve">FR-3.08, FR-3.09</x:t>
  </x:si>
  <x:si>
    <x:t xml:space="preserve">#48</x:t>
  </x:si>
  <x:si>
    <x:t xml:space="preserve">P2-04</x:t>
  </x:si>
  <x:si>
    <x:t xml:space="preserve">Khóa huấn luyện: đặt/gỡ/gia hạn, danh sách &amp; thông báo</x:t>
  </x:si>
  <x:si>
    <x:t xml:space="preserve">FR-3.10, FR-3.11, FR-3.12, FR-3.19</x:t>
  </x:si>
  <x:si>
    <x:t xml:space="preserve">#49</x:t>
  </x:si>
  <x:si>
    <x:t xml:space="preserve">P2-05</x:t>
  </x:si>
  <x:si>
    <x:t xml:space="preserve">Lịch chăm sóc định kỳ (tiêm phòng, tẩy giun, móng) &amp; danh mục loại</x:t>
  </x:si>
  <x:si>
    <x:t xml:space="preserve">FR-3.13, FR-3.14, FR-3.15, FR-3.16</x:t>
  </x:si>
  <x:si>
    <x:t xml:space="preserve">#50</x:t>
  </x:si>
  <x:si>
    <x:t xml:space="preserve">P2-06</x:t>
  </x:si>
  <x:si>
    <x:t xml:space="preserve">Giáo án huấn luyện: lập, sửa, kích hoạt, kết thúc, nhân bản</x:t>
  </x:si>
  <x:si>
    <x:t xml:space="preserve">FR-2.02, FR-2.03, FR-2.04, FR-2.05, FR-2.08, FR-2.18, FR-2.19, FR-2.21</x:t>
  </x:si>
  <x:si>
    <x:t xml:space="preserve">#51</x:t>
  </x:si>
  <x:si>
    <x:t xml:space="preserve">P2-07</x:t>
  </x:si>
  <x:si>
    <x:t xml:space="preserve">Chặn bài tập nặng khi có Khóa huấn luyện &amp; khôi phục</x:t>
  </x:si>
  <x:si>
    <x:t xml:space="preserve">FR-2.06, FR-2.07, FR-2.17</x:t>
  </x:si>
  <x:si>
    <x:t xml:space="preserve">#52</x:t>
  </x:si>
  <x:si>
    <x:t xml:space="preserve">P2-08</x:t>
  </x:si>
  <x:si>
    <x:t xml:space="preserve">Lịch tập, phân công Groom/nài, điều phối chạy thử</x:t>
  </x:si>
  <x:si>
    <x:t xml:space="preserve">FR-2.09, FR-2.10, FR-2.11, FR-2.12</x:t>
  </x:si>
  <x:si>
    <x:t xml:space="preserve">#53</x:t>
  </x:si>
  <x:si>
    <x:t xml:space="preserve">P2-09</x:t>
  </x:si>
  <x:si>
    <x:t xml:space="preserve">Kết quả buổi tập, biểu đồ thể lực, tổng quan huấn luyện</x:t>
  </x:si>
  <x:si>
    <x:t xml:space="preserve">FR-2.01, FR-2.13, FR-2.14, FR-2.15, FR-2.16, FR-2.20</x:t>
  </x:si>
  <x:si>
    <x:t xml:space="preserve">#54</x:t>
  </x:si>
  <x:si>
    <x:t xml:space="preserve">C-03</x:t>
  </x:si>
  <x:si>
    <x:t xml:space="preserve">Nghiệm thu toàn trình MVP-QA</x:t>
  </x:si>
  <x:si>
    <x:t xml:space="preserve">Toàn bộ Flow 1–3</x:t>
  </x:si>
  <x:si>
    <x:t xml:space="preserve">#55</x:t>
  </x:si>
  <x:si>
    <x:t xml:space="preserve">Luồng</x:t>
  </x:si>
  <x:si>
    <x:t xml:space="preserve">Tên luồng</x:t>
  </x:si>
  <x:si>
    <x:t xml:space="preserve">Bên</x:t>
  </x:si>
  <x:si>
    <x:t xml:space="preserve">Việc cần làm</x:t>
  </x:si>
  <x:si>
    <x:t xml:space="preserve">Người phụ trách</x:t>
  </x:si>
  <x:si>
    <x:t xml:space="preserve">NT</x:t>
  </x:si>
  <x:si>
    <x:t xml:space="preserve">Nền tảng giao diện</x:t>
  </x:si>
  <x:si>
    <x:t xml:space="preserve">FE</x:t>
  </x:si>
  <x:si>
    <x:t xml:space="preserve">• Design tokens (Forest Green #315D4B, Manrope/DM Sans), sáng/tối
• Layout: AppShell, Sidebar 224px, Topbar 64px, AuthLayout
• UI dùng chung: Button, Modal, Toast, Table, Badge, form…
• API client + mock (VITE_USE_MOCK), router + RoleGuard</x:t>
  </x:si>
  <x:si>
    <x:t xml:space="preserve">WF1-1</x:t>
  </x:si>
  <x:si>
    <x:t xml:space="preserve">Luồng chính: đăng nhập thành công → dashboard theo vai trò</x:t>
  </x:si>
  <x:si>
    <x:t xml:space="preserve">• Màn Login (AUTH01): email → mật khẩu, "Remember me"
• Lưu token, điều hướng theo vai trò</x:t>
  </x:si>
  <x:si>
    <x:t xml:space="preserve">BE</x:t>
  </x:si>
  <x:si>
    <x:t xml:space="preserve">• POST /auth/login: kiểm tra mật khẩu, cấp access 15 phút + refresh 7 ngày (30 ngày khi remember)
• GET /auth/me trả hồ sơ + quyền</x:t>
  </x:si>
  <x:si>
    <x:t xml:space="preserve">WF1-2</x:t>
  </x:si>
  <x:si>
    <x:t xml:space="preserve">Rẽ nhánh: 8 trường hợp bị chặn (khóa, chờ duyệt, chưa xác minh…)</x:t>
  </x:si>
  <x:si>
    <x:t xml:space="preserve">• Hiện đúng thông báo theo code: ACCOUNT_LOCKED, ACCOUNT_PENDING, EMAIL_NOT_VERIFIED…</x:t>
  </x:si>
  <x:si>
    <x:t xml:space="preserve">• Trả 423/403 kèm code + data (fullName, requestCode, reason…)</x:t>
  </x:si>
  <x:si>
    <x:t xml:space="preserve">WF1-3</x:t>
  </x:si>
  <x:si>
    <x:t xml:space="preserve">Khóa tạm sau 5 lần sai</x:t>
  </x:si>
  <x:si>
    <x:t xml:space="preserve">• Hiện số lần còn lại, đếm ngược tới retryAt</x:t>
  </x:si>
  <x:si>
    <x:t xml:space="preserve">• LoginAttempt: sai 5 lần khóa 15 phút (429 ATTEMPTS_EXCEEDED)</x:t>
  </x:si>
  <x:si>
    <x:t xml:space="preserve">WF1-4/5/6</x:t>
  </x:si>
  <x:si>
    <x:t xml:space="preserve">Khôi phục phiên, hết phiên, đăng xuất</x:t>
  </x:si>
  <x:si>
    <x:t xml:space="preserve">• Tải lại trang giữ đăng nhập; 401 → tự làm mới token, không được thì modal Session Expired
• Đăng xuất xóa token</x:t>
  </x:si>
  <x:si>
    <x:t xml:space="preserve">• POST /auth/refresh xoay vòng refresh token
• POST /auth/logout thu hồi refresh token</x:t>
  </x:si>
  <x:si>
    <x:t xml:space="preserve">ĐK-1</x:t>
  </x:si>
  <x:si>
    <x:t xml:space="preserve">Đăng ký → nhận mã OTP qua email</x:t>
  </x:si>
  <x:si>
    <x:t xml:space="preserve">• Màn Sign Up (AUTH02): họ tên, email @gmail.com, mật khẩu (thang độ mạnh)</x:t>
  </x:si>
  <x:si>
    <x:t xml:space="preserve">• POST /auth/register: chỉ HORSE_OWNER, tạo PENDING_EMAIL + requestCode REQ-YYMM-NNN, gửi OTP</x:t>
  </x:si>
  <x:si>
    <x:t xml:space="preserve">ĐK-2</x:t>
  </x:si>
  <x:si>
    <x:t xml:space="preserve">Nhập OTP → chờ duyệt</x:t>
  </x:si>
  <x:si>
    <x:t xml:space="preserve">• Form OTP: đếm ngược hết hạn, gửi lại sau 60 giây, báo số lần còn lại
• Màn Pending Approval hiện mã yêu cầu</x:t>
  </x:si>
  <x:si>
    <x:t xml:space="preserve">• POST /auth/verify-email → PENDING_APPROVAL
• GET /auth/otp, POST /auth/otp/resend (chờ 60 giây, sai 5 lần khóa mã)</x:t>
  </x:si>
  <x:si>
    <x:t xml:space="preserve">QMK-1</x:t>
  </x:si>
  <x:si>
    <x:t xml:space="preserve">Nhập email → nhận mã</x:t>
  </x:si>
  <x:si>
    <x:t xml:space="preserve">• Màn Forgot Password (AUTH03): thông báo trung tính</x:t>
  </x:si>
  <x:si>
    <x:t xml:space="preserve">• POST /auth/forgot-password: trả giống nhau dù email có tồn tại hay không</x:t>
  </x:si>
  <x:si>
    <x:t xml:space="preserve">QMK-2</x:t>
  </x:si>
  <x:si>
    <x:t xml:space="preserve">Nhập mã → đặt mật khẩu mới</x:t>
  </x:si>
  <x:si>
    <x:t xml:space="preserve">• Màn Reset Password (AUTH04): OTP + mật khẩu mới</x:t>
  </x:si>
  <x:si>
    <x:t xml:space="preserve">• POST /auth/reset-password/verify → vé đặt mật khẩu
• POST /auth/reset-password: vé dùng 1 lần, thu hồi mọi phiên cũ</x:t>
  </x:si>
  <x:si>
    <x:t xml:space="preserve">TK-1</x:t>
  </x:si>
  <x:si>
    <x:t xml:space="preserve">Mời nhân sự → nhận lời mời → đặt mật khẩu</x:t>
  </x:si>
  <x:si>
    <x:t xml:space="preserve">• Modal mời (SYS02): họ tên, email, vai trò
• Màn Accept Invite: email + mã mời → đặt mật khẩu</x:t>
  </x:si>
  <x:si>
    <x:t xml:space="preserve">• POST /accounts: tạo INVITED + gửi mã mời 48 giờ
• POST /auth/accept-invite/verify; POST /accounts/:id/resend-invite</x:t>
  </x:si>
  <x:si>
    <x:t xml:space="preserve">TK-2</x:t>
  </x:si>
  <x:si>
    <x:t xml:space="preserve">Duyệt / từ chối / khóa / mở khóa / vô hiệu hóa / kích hoạt lại / xóa</x:t>
  </x:si>
  <x:si>
    <x:t xml:space="preserve">• Danh sách tài khoản (SYS01) theo tab trạng thái
• Hộp thoại nhập lý do, sửa họ tên + SĐT</x:t>
  </x:si>
  <x:si>
    <x:t xml:space="preserve">• POST /accounts/:id/{approve,decline,lock,unlock,deactivate,reactivate}
• PUT /accounts/:id; DELETE /accounts/:id (chỉ tài khoản chưa dùng)
• Không tự khóa mình; luôn còn ≥ 1 Club Manager</x:t>
  </x:si>
  <x:si>
    <x:t xml:space="preserve">PQ-1</x:t>
  </x:si>
  <x:si>
    <x:t xml:space="preserve">Chặn theo quyền + trang 403</x:t>
  </x:si>
  <x:si>
    <x:t xml:space="preserve">• RoleGuard, sidebar theo quyền, trang 403 + mã tham chiếu</x:t>
  </x:si>
  <x:si>
    <x:t xml:space="preserve">• PermissionsGuard + @RequirePermission; mọi API tự kiểm tra quyền (không chỉ ẩn nút)
• POST /audit/forbidden</x:t>
  </x:si>
  <x:si>
    <x:t xml:space="preserve">PQ-2</x:t>
  </x:si>
  <x:si>
    <x:t xml:space="preserve">Bật/tắt quyền, xin cấp quyền</x:t>
  </x:si>
  <x:si>
    <x:t xml:space="preserve">• Ma trận quyền (Permissions), hộp yêu cầu cấp quyền của Manager</x:t>
  </x:si>
  <x:si>
    <x:t xml:space="preserve">• PUT /accounts/:id/permissions (ép các quyền khóa theo vai trò)
• POST/GET /permission-requests, POST /permission-requests/:id/resolve</x:t>
  </x:si>
  <x:si>
    <x:t xml:space="preserve">PQ-3</x:t>
  </x:si>
  <x:si>
    <x:t xml:space="preserve">Cách ly dữ liệu Chủ ngựa</x:t>
  </x:si>
  <x:si>
    <x:t xml:space="preserve">• Owner chỉ thấy ngựa của mình</x:t>
  </x:si>
  <x:si>
    <x:t xml:space="preserve">• Owner A gọi dữ liệu ngựa của Owner B → 403 (áp dụng cho mọi API ngựa, y tế, huấn luyện)</x:t>
  </x:si>
  <x:si>
    <x:t xml:space="preserve">NK-1</x:t>
  </x:si>
  <x:si>
    <x:t xml:space="preserve">Ghi nhật ký tự động</x:t>
  </x:si>
  <x:si>
    <x:t xml:space="preserve">• Mọi thao tác ghi (khóa, đổi quyền, đặt/gỡ khóa huấn luyện…) ghi AuditLog; không có API sửa/xóa log</x:t>
  </x:si>
  <x:si>
    <x:t xml:space="preserve">NK-2</x:t>
  </x:si>
  <x:si>
    <x:t xml:space="preserve">Xem và lọc nhật ký (Manager)</x:t>
  </x:si>
  <x:si>
    <x:t xml:space="preserve">• Màn Audit Log: lọc theo người, hành động, khoảng ngày; phân trang</x:t>
  </x:si>
  <x:si>
    <x:t xml:space="preserve">• GET /audit-logs (API-017) có lọc + phân trang, chỉ người có quyền viewAudit</x:t>
  </x:si>
  <x:si>
    <x:t xml:space="preserve">F1-L1</x:t>
  </x:si>
  <x:si>
    <x:t xml:space="preserve">Tạo ngựa (bước 1–2): Thêm ngựa → nhập định danh → Lưu</x:t>
  </x:si>
  <x:si>
    <x:t xml:space="preserve">• SC-1.02 form 8 ô: Tên, Giống, Ngày sinh, Giới tính, Màu lông, Microchip, RFID
• Cảnh báo rời form chưa lưu (DL-1.12)</x:t>
  </x:si>
  <x:si>
    <x:t xml:space="preserve">• POST /horses: tự sinh Mã ngựa, trạng thái đầu Nghỉ ngơi, chặn trùng Tên/Microchip/RFID
• PUT /horses/:id sửa định danh</x:t>
  </x:si>
  <x:si>
    <x:t xml:space="preserve">F1-L8</x:t>
  </x:si>
  <x:si>
    <x:t xml:space="preserve">Tra cứu: danh sách + chi tiết</x:t>
  </x:si>
  <x:si>
    <x:t xml:space="preserve">• SC-1.01 danh sách: 7 bộ lọc, sắp xếp, phân trang
• SC-1.03 chi tiết: header + tab Thông tin; che Microchip với GROOM</x:t>
  </x:si>
  <x:si>
    <x:t xml:space="preserve">• GET /horses theo phạm vi vai trò (Owner chỉ ngựa của mình)
• GET /horses/:id (ẩn microchip với GROOM)</x:t>
  </x:si>
  <x:si>
    <x:t xml:space="preserve">F1-L2</x:t>
  </x:si>
  <x:si>
    <x:t xml:space="preserve">HT đổi trạng thái vận hành</x:t>
  </x:si>
  <x:si>
    <x:t xml:space="preserve">• DL-1.01: chỉ hiện trạng thái vai trò được chuyển tới</x:t>
  </x:si>
  <x:si>
    <x:t xml:space="preserve">• API đổi trạng thái theo bảng chuyển Mục 4.2</x:t>
  </x:si>
  <x:si>
    <x:t xml:space="preserve">F1-L3</x:t>
  </x:si>
  <x:si>
    <x:t xml:space="preserve">VET đổi trạng thái y tế (lý do bắt buộc)</x:t>
  </x:si>
  <x:si>
    <x:t xml:space="preserve">• DL-1.01 với lý do 10–500 ký tự, khung gợi ý đặt khóa</x:t>
  </x:si>
  <x:si>
    <x:t xml:space="preserve">• Chỉ VET vào/ra nhóm y tế; lý do bắt buộc</x:t>
  </x:si>
  <x:si>
    <x:t xml:space="preserve">F1-L4</x:t>
  </x:si>
  <x:si>
    <x:t xml:space="preserve">Nhận Khóa huấn luyện từ Flow 3</x:t>
  </x:si>
  <x:si>
    <x:t xml:space="preserve">• Badge + banner đỏ, vô hiệu hóa nút theo Mục 4.2, bộ lọc Khóa huấn luyện</x:t>
  </x:si>
  <x:si>
    <x:t xml:space="preserve">• Chặn chuyển về trạng thái vận hành khi isMedicalLocked</x:t>
  </x:si>
  <x:si>
    <x:t xml:space="preserve">Tab Lịch sử trạng thái</x:t>
  </x:si>
  <x:si>
    <x:t xml:space="preserve">• Bảng lịch sử, lọc khoảng ngày</x:t>
  </x:si>
  <x:si>
    <x:t xml:space="preserve">• Lưu + GET lịch sử trạng thái (⚠️ cần bảng mới, chốt với nhóm BE)</x:t>
  </x:si>
  <x:si>
    <x:t xml:space="preserve">Gán ô chuồng cho ngựa mới</x:t>
  </x:si>
  <x:si>
    <x:t xml:space="preserve">• DL-1.02 chế độ Gán / Gán vào ô từ sơ đồ</x:t>
  </x:si>
  <x:si>
    <x:t xml:space="preserve">• Gán ô: chỉ ô Hoạt động và trống; chống 2 người gán cùng lúc</x:t>
  </x:si>
  <x:si>
    <x:t xml:space="preserve">F1-L5</x:t>
  </x:si>
  <x:si>
    <x:t xml:space="preserve">Chuyển / trả ô chuồng</x:t>
  </x:si>
  <x:si>
    <x:t xml:space="preserve">• DL-1.02 chế độ Chuyển, DL-1.03 Trả ô
• SC-1.04 lưới sơ đồ theo khu, tìm ngựa, "chỉ ngựa của tôi"</x:t>
  </x:si>
  <x:si>
    <x:t xml:space="preserve">• API-010 GET /stalls/board; chuyển/trả ô (StallAllocation)</x:t>
  </x:si>
  <x:si>
    <x:t xml:space="preserve">Danh mục khu &amp; ô, lịch sử ô chuồng</x:t>
  </x:si>
  <x:si>
    <x:t xml:space="preserve">• SC-1.07 + DL-1.14/1.15; tab Lịch sử ô chuồng</x:t>
  </x:si>
  <x:si>
    <x:t xml:space="preserve">• CRUD khu chuồng/ô chuồng; GET lịch sử ô của ngựa</x:t>
  </x:si>
  <x:si>
    <x:t xml:space="preserve">Phân công chăm sóc + gắn lịch sinh hoạt (bước 3)</x:t>
  </x:si>
  <x:si>
    <x:t xml:space="preserve">• DL-1.04 phân công, DL-1.05 kết thúc phân công, DL-1.07 gắn/đổi lịch
• SC-1.08 danh mục lịch sinh hoạt mẫu</x:t>
  </x:si>
  <x:si>
    <x:t xml:space="preserve">• API phân công chính/phụ + kết thúc
• CRUD lịch mẫu, gắn lịch cho ngựa (⚠️ bảng mới)</x:t>
  </x:si>
  <x:si>
    <x:t xml:space="preserve">Cập nhật chủ sở hữu (bước 4)</x:t>
  </x:si>
  <x:si>
    <x:t xml:space="preserve">• DL-1.06 thêm/bỏ chủ sở hữu, tỷ lệ</x:t>
  </x:si>
  <x:si>
    <x:t xml:space="preserve">• Chủ sở hữu nhiều người + tỷ lệ (⚠️ hiện Horse.ownerId chỉ 1 người, cần đổi schema)</x:t>
  </x:si>
  <x:si>
    <x:t xml:space="preserve">F1-L6</x:t>
  </x:si>
  <x:si>
    <x:t xml:space="preserve">Ngừng quản lý / kích hoạt lại</x:t>
  </x:si>
  <x:si>
    <x:t xml:space="preserve">• DL-1.08, DL-1.09, banner Ngừng quản lý</x:t>
  </x:si>
  <x:si>
    <x:t xml:space="preserve">• Ngừng quản lý tự kết thúc ô chuồng + phân công chăm sóc</x:t>
  </x:si>
  <x:si>
    <x:t xml:space="preserve">F1-L7</x:t>
  </x:si>
  <x:si>
    <x:t xml:space="preserve">Xóa nhầm và khôi phục</x:t>
  </x:si>
  <x:si>
    <x:t xml:space="preserve">• DL-1.10 xóa, SC-1.05 hồ sơ đã xóa, DL-1.11 khôi phục</x:t>
  </x:si>
  <x:si>
    <x:t xml:space="preserve">• Xóa mềm chỉ khi chưa có dữ liệu Flow 2–5; khôi phục</x:t>
  </x:si>
  <x:si>
    <x:t xml:space="preserve">DM</x:t>
  </x:si>
  <x:si>
    <x:t xml:space="preserve">• SC-1.06 hai tab, DL-1.13 thêm/sửa</x:t>
  </x:si>
  <x:si>
    <x:t xml:space="preserve">• CRUD danh mục (⚠️ hiện Horse.breed/color là chuỗi, cần chốt schema)</x:t>
  </x:si>
  <x:si>
    <x:t xml:space="preserve">Tab Dòng thời gian</x:t>
  </x:si>
  <x:si>
    <x:t xml:space="preserve">• Lọc nhóm, khoảng ngày, "Tải thêm", link xem chi tiết</x:t>
  </x:si>
  <x:si>
    <x:t xml:space="preserve">• API tổng hợp sự kiện từ Flow 1, 2, 3 (phân trang)</x:t>
  </x:si>
  <x:si>
    <x:t xml:space="preserve">F3-L1</x:t>
  </x:si>
  <x:si>
    <x:t xml:space="preserve">Theo dõi toàn đàn</x:t>
  </x:si>
  <x:si>
    <x:t xml:space="preserve">• SC-3.01: thẻ đếm, bộ lọc, lưới theo chuồng/thẻ, panel ngựa
• Bấm ngựa → SC-3.02</x:t>
  </x:si>
  <x:si>
    <x:t xml:space="preserve">• API-004 / API board sức khỏe toàn đàn theo khu chuồng (màu theo Mục 4.1)</x:t>
  </x:si>
  <x:si>
    <x:t xml:space="preserve">Mở hồ sơ y tế từ sơ đồ/hồ sơ ngựa</x:t>
  </x:si>
  <x:si>
    <x:t xml:space="preserve">• SC-3.02: 6 tab theo quyền, tab Ghi chú quan sát</x:t>
  </x:si>
  <x:si>
    <x:t xml:space="preserve">• API hồ sơ y tế tổng hợp; Owner chỉ ngựa của mình, Groom xem giới hạn</x:t>
  </x:si>
  <x:si>
    <x:t xml:space="preserve">F3-L2</x:t>
  </x:si>
  <x:si>
    <x:t xml:space="preserve">Khám và điều trị</x:t>
  </x:si>
  <x:si>
    <x:t xml:space="preserve">• SC-3.09 danh sách, SC-3.03 form 4 khối, SC-3.04 chi tiết
• DL-3.04 giai đoạn, DL-3.05/3.06 thuốc, DL-3.07 tái khám, DL-3.08 chốt, DL-3.09 kết thúc, DL-3.15 rời form</x:t>
  </x:si>
  <x:si>
    <x:t xml:space="preserve">• CRUD MedicalRecord + trạng thái bệnh án
• Phác đồ, đơn thuốc, tính ngày hết ngưng thuốc (⚠️ mở rộng schema)</x:t>
  </x:si>
  <x:si>
    <x:t xml:space="preserve">F3-L3</x:t>
  </x:si>
  <x:si>
    <x:t xml:space="preserve">Chấn thương</x:t>
  </x:si>
  <x:si>
    <x:t xml:space="preserve">• SC-3.05 bật chế độ đánh dấu, DL-3.10 ghi tổn thương, DL-3.11 cập nhật hồi phục</x:t>
  </x:si>
  <x:si>
    <x:t xml:space="preserve">• API-007 InjuryLog: tọa độ chuẩn hóa 0–1; giai đoạn Cấp tính → Đã lành + lịch sử</x:t>
  </x:si>
  <x:si>
    <x:t xml:space="preserve">F3-L4</x:t>
  </x:si>
  <x:si>
    <x:t xml:space="preserve">Khóa huấn luyện khẩn cấp</x:t>
  </x:si>
  <x:si>
    <x:t xml:space="preserve">• DL-3.01 đặt, DL-3.02 gỡ, DL-3.03 gia hạn
• SC-3.06 tab Đang khóa / Lịch sử</x:t>
  </x:si>
  <x:si>
    <x:t xml:space="preserve">• API-005 đặt khóa, API-006 gỡ khóa, gia hạn — chỉ VET
• Một transaction: đổi trạng thái ngựa + isMedicalLocked + chuyển buổi nặng sang Bị chặn + thông báo HT, CM, GROOM, OWNER</x:t>
  </x:si>
  <x:si>
    <x:t xml:space="preserve">F3-L5</x:t>
  </x:si>
  <x:si>
    <x:t xml:space="preserve">Chăm sóc định kỳ</x:t>
  </x:si>
  <x:si>
    <x:t xml:space="preserve">• SC-3.07, DL-3.12 ghi nhận (đơn lẻ/hàng loạt), DL-3.13
• SC-3.08 danh mục loại + DL-3.14</x:t>
  </x:si>
  <x:si>
    <x:t xml:space="preserve">• PreventiveSchedule; tính ngày đến hạn tiếp theo
• Job thông báo 06:00 (sắp đến hạn, đến hạn, quá hạn)</x:t>
  </x:si>
  <x:si>
    <x:t xml:space="preserve">F2-L1</x:t>
  </x:si>
  <x:si>
    <x:t xml:space="preserve">Lập và áp dụng giáo án</x:t>
  </x:si>
  <x:si>
    <x:t xml:space="preserve">• SC-2.02 danh sách, SC-2.03 form giai đoạn, SC-2.04 chi tiết
• DL-2.01 buổi tập (lặp hằng tuần), DL-2.02 kích hoạt, DL-2.08 nhân bản, DL-2.09 rời form</x:t>
  </x:si>
  <x:si>
    <x:t xml:space="preserve">• API-008 TrainingPlan + giai đoạn; trạng thái Nháp → Đang áp dụng
• Kích hoạt tùy chọn chuyển ngựa sang Đang tập luyện</x:t>
  </x:si>
  <x:si>
    <x:t xml:space="preserve">F2-L5</x:t>
  </x:si>
  <x:si>
    <x:t xml:space="preserve">Kết thúc giáo án</x:t>
  </x:si>
  <x:si>
    <x:t xml:space="preserve">• DL-2.04 hoàn thành, DL-2.03 hủy</x:t>
  </x:si>
  <x:si>
    <x:t xml:space="preserve">• Tự hoàn thành khi quá hạn; tự hủy khi ngựa ngừng quản lý</x:t>
  </x:si>
  <x:si>
    <x:t xml:space="preserve">Kiểm tra sức khỏe khi kích hoạt (bước 4)</x:t>
  </x:si>
  <x:si>
    <x:t xml:space="preserve">• Banner khóa / banner trạng thái y tế ở SC-2.03, SC-2.04</x:t>
  </x:si>
  <x:si>
    <x:t xml:space="preserve">• Kích hoạt: có khóa → chặn; trạng thái y tế → cảnh báo</x:t>
  </x:si>
  <x:si>
    <x:t xml:space="preserve">F2-L4</x:t>
  </x:si>
  <x:si>
    <x:t xml:space="preserve">Khi VET đặt khóa (tự động)</x:t>
  </x:si>
  <x:si>
    <x:t xml:space="preserve">• Badge Bị chặn, lựa chọn bị vô hiệu hóa trong DL-2.01
• DL-2.07 khôi phục lịch, DL-2.05 hủy buổi</x:t>
  </x:si>
  <x:si>
    <x:t xml:space="preserve">• Kiểm tra khóa ở service (không chỉ ẩn nút)
• Buổi nặng chưa diễn ra → Bị chặn; khôi phục sau khi gỡ</x:t>
  </x:si>
  <x:si>
    <x:t xml:space="preserve">F2-L2</x:t>
  </x:si>
  <x:si>
    <x:t xml:space="preserve">Xếp lịch và phân công hằng ngày</x:t>
  </x:si>
  <x:si>
    <x:t xml:space="preserve">• SC-2.05 lưới lịch ngày/tuần, tab Lượt chạy thử
• SC-2.08 Lịch tập của tôi (GROOM)</x:t>
  </x:si>
  <x:si>
    <x:t xml:space="preserve">• Phân công nhân viên chăm sóc + nài; cảnh báo trùng giờ
• Chặn trùng khung 15 phút lượt chạy thử cùng mặt sân</x:t>
  </x:si>
  <x:si>
    <x:t xml:space="preserve">F2-L3</x:t>
  </x:si>
  <x:si>
    <x:t xml:space="preserve">Ghi kết quả và đánh giá</x:t>
  </x:si>
  <x:si>
    <x:t xml:space="preserve">• SC-2.06 nhập chỉ số, điểm phong độ, nhận xét, dấu hiệu bất thường
• SC-2.07 biểu đồ thể lực, SC-2.01 tổng quan</x:t>
  </x:si>
  <x:si>
    <x:t xml:space="preserve">• API-009 ghi kết quả; sửa trong 48 giờ; tự đánh dấu Bỏ lỡ, ghi muộn trong 7 ngày
• Dấu hiệu bất thường → thông báo VET, HT</x:t>
  </x:si>
  <x:si>
    <x:t xml:space="preserve">F2-L6</x:t>
  </x:si>
  <x:si>
    <x:t xml:space="preserve">Chủ sở hữu theo dõi</x:t>
  </x:si>
  <x:si>
    <x:t xml:space="preserve">• Owner xem giáo án, buổi tập, nhận xét, biểu đồ ngựa của mình</x:t>
  </x:si>
  <x:si>
    <x:t xml:space="preserve">• Cách ly dữ liệu Owner</x:t>
  </x:si>
  <x:si>
    <x:t xml:space="preserve">QA</x:t>
  </x:si>
  <x:si>
    <x:t xml:space="preserve">Luồng xuyên suốt: đăng ký → hồ sơ ngựa → bệnh án → chấn thương 2D → khóa → lịch bị chặn → gỡ khóa → xếp lịch lại</x:t>
  </x:si>
  <x:si>
    <x:t xml:space="preserve">• Playwright test luồng chính ở 1440×1000 và 1280×800</x:t>
  </x:si>
  <x:si>
    <x:t xml:space="preserve">• E2E API test luồng chính, RBAC, Owner isolation</x:t>
  </x:si>
  <x:si>
    <x:t xml:space="preserve">Ghi chú: Luồng F1-L1… theo Tai_Lieu (mục 3.2 mỗi Flow); WF1-… theo docs/WorkFlow_1_DangNhap.md. Ngày chia trong sprint theo số chức năng của task; FE và BE cùng task làm song song sau khi chốt API. Người phụ trách tự lấy từ sheet Thành viên.</x:t>
  </x:si>
  <x:si>
    <x:t xml:space="preserve">Số task</x:t>
  </x:si>
  <x:si>
    <x:t xml:space="preserve">Done</x:t>
  </x:si>
  <x:si>
    <x:t xml:space="preserve">Tiến độ</x:t>
  </x:si>
  <x:si>
    <x:t xml:space="preserve">Tổng</x:t>
  </x:si>
  <x:si>
    <x:t xml:space="preserve">298</x:t>
  </x:si>
  <x:si>
    <x:t xml:space="preserve">Frontend</x:t>
  </x:si>
  <x:si>
    <x:t xml:space="preserve">Backend</x:t>
  </x:si>
  <x:si>
    <x:t xml:space="preserve">Cả 2 FE</x:t>
  </x:si>
  <x:si>
    <x:t xml:space="preserve">Cả 2 BE</x:t>
  </x:si>
  <x:si>
    <x:t xml:space="preserve">Hướng dẫn: điền tên (hoặc GitHub username) vào các ô vàng. Sheet "Phân công" tự lấy tên theo cặp.</x:t>
  </x:si>
  <x:si>
    <x:t xml:space="preserve">Cặp cung cấp</x:t>
  </x:si>
  <x:si>
    <x:t xml:space="preserve">Cặp dùng</x:t>
  </x:si>
  <x:si>
    <x:t xml:space="preserve">Nội dung cần thống nhất API</x:t>
  </x:si>
  <x:si>
    <x:t xml:space="preserve">Cặp 1 (P1-05)</x:t>
  </x:si>
  <x:si>
    <x:t xml:space="preserve">Đăng nhập, vai trò, cách ly dữ liệu Owner — mọi API của Cặp 2 dùng chung guard</x:t>
  </x:si>
  <x:si>
    <x:t xml:space="preserve">Cặp 1 (P1-07, P1-09, P1-10)</x:t>
  </x:si>
  <x:si>
    <x:t xml:space="preserve">Danh sách ngựa, trạng thái, ô chuồng, nhân viên chăm sóc phụ trách</x:t>
  </x:si>
  <x:si>
    <x:t xml:space="preserve">Cặp 2 (P2-04)</x:t>
  </x:si>
  <x:si>
    <x:t xml:space="preserve">Cặp 1 (P1-08, P1-14)</x:t>
  </x:si>
  <x:si>
    <x:t xml:space="preserve">Đặt/gỡ Khóa huấn luyện → đổi trạng thái ngựa, bật/tắt banner, màu trên sơ đồ sức khỏe</x:t>
  </x:si>
  <x:si>
    <x:t xml:space="preserve">Cặp 2 (P2-02, P2-06 → P2-09)</x:t>
  </x:si>
  <x:si>
    <x:t xml:space="preserve">Cặp 1 (P1-13)</x:t>
  </x:si>
  <x:si>
    <x:t xml:space="preserve">Sự kiện y tế &amp; huấn luyện cho dòng thời gian ngựa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</x:si>
</x:sst>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7">
    <x:font>
      <x:sz val="11"/>
      <x:color theme="1"/>
      <x:name val="Calibri"/>
    </x:font>
    <x:font>
      <x:b/>
      <x:sz val="10"/>
      <x:color rgb="FFFFFFFF"/>
      <x:name val="Arial"/>
    </x:font>
    <x:font>
      <x:sz val="10"/>
      <x:name val="Arial"/>
    </x:font>
    <x:font>
      <x:sz val="10"/>
      <x:color rgb="FF0563C1"/>
      <x:name val="Arial"/>
    </x:font>
    <x:font>
      <x:i/>
      <x:sz val="10"/>
      <x:name val="Arial"/>
    </x:font>
    <x:font>
      <x:b/>
      <x:sz val="10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15D4B"/>
      </x:patternFill>
    </x:fill>
    <x:fill>
      <x:patternFill patternType="solid">
        <x:fgColor rgb="FFFFFF00"/>
      </x:patternFill>
    </x:fill>
    <x:fill>
      <x:patternFill patternType="solid">
        <x:fgColor rgb="FFFFF200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vertical="center" wrapText="1"/>
    </x:xf>
    <x:xf numFmtId="0" fontId="2" fillId="0" borderId="0" xfId="0" applyFont="1" applyAlignment="1">
      <x:alignment vertical="top" wrapText="1"/>
    </x:xf>
    <x:xf numFmtId="164" fontId="2" fillId="0" borderId="0" xfId="0" applyNumberFormat="1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2" fillId="3" borderId="0" xfId="0" applyFont="1" applyFill="1" applyAlignment="1">
      <x:alignment vertical="top" wrapText="1"/>
    </x:xf>
    <x:xf numFmtId="0" fontId="4" fillId="0" borderId="0" xfId="0" applyFont="1"/>
    <x:xf numFmtId="9" fontId="2" fillId="0" borderId="0" xfId="0" applyNumberFormat="1" applyFont="1" applyAlignment="1">
      <x:alignment vertical="top" wrapText="1"/>
    </x:xf>
    <x:xf numFmtId="0" fontId="5" fillId="0" borderId="0" xfId="0" applyFont="1" applyAlignment="1">
      <x:alignment vertical="top" wrapText="1"/>
    </x:xf>
    <x:xf numFmtId="9" fontId="5" fillId="0" borderId="0" xfId="0" applyNumberFormat="1" applyFont="1" applyAlignment="1">
      <x:alignment vertical="top" wrapText="1"/>
    </x:xf>
    <x:xf numFmtId="0" fontId="0" fillId="3" borderId="0" xfId="0" applyFill="1"/>
    <x:xf numFmtId="0" fontId="6" fillId="0" borderId="0" xfId="0" applyFont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11e49c0894622" /><Relationship Type="http://schemas.openxmlformats.org/officeDocument/2006/relationships/theme" Target="/xl/theme/theme1.xml" Id="R2e853a145c404c29" /><Relationship Type="http://schemas.openxmlformats.org/officeDocument/2006/relationships/sharedStrings" Target="/xl/sharedStrings.xml" Id="R6cb8cff6c38e4a3c" /><Relationship Type="http://schemas.openxmlformats.org/officeDocument/2006/relationships/worksheet" Target="/xl/worksheets/sheet1.xml" Id="R3d6fca40ad7a47ff" /><Relationship Type="http://schemas.openxmlformats.org/officeDocument/2006/relationships/worksheet" Target="/xl/worksheets/sheet2.xml" Id="R48b5bb867c754b5d" /><Relationship Type="http://schemas.openxmlformats.org/officeDocument/2006/relationships/worksheet" Target="/xl/worksheets/sheet3.xml" Id="R88a8480757354d7a" /><Relationship Type="http://schemas.openxmlformats.org/officeDocument/2006/relationships/worksheet" Target="/xl/worksheets/sheet4.xml" Id="R7ef1a4ca5b804a65" /><Relationship Type="http://schemas.openxmlformats.org/officeDocument/2006/relationships/worksheet" Target="/xl/worksheets/sheet5.xml" Id="R8a22b56d79424b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/MichaelTran1226/Racehorse_Training_Management_System_MT_BE/issues/31" TargetMode="External" Id="Rf213f81d3c7b4683" /><Relationship Type="http://schemas.openxmlformats.org/officeDocument/2006/relationships/hyperlink" Target="https://github.com/MichaelTran1226/Racehorse_Training_Management_System_MT_BE/issues/32" TargetMode="External" Id="R2bf6d828dfc54e2e" /><Relationship Type="http://schemas.openxmlformats.org/officeDocument/2006/relationships/hyperlink" Target="https://github.com/MichaelTran1226/Racehorse_Training_Management_System_MT_BE/issues/33" TargetMode="External" Id="R6637184f47d44e80" /><Relationship Type="http://schemas.openxmlformats.org/officeDocument/2006/relationships/hyperlink" Target="https://github.com/MichaelTran1226/Racehorse_Training_Management_System_MT_BE/issues/34" TargetMode="External" Id="R65071e5681904f1d" /><Relationship Type="http://schemas.openxmlformats.org/officeDocument/2006/relationships/hyperlink" Target="https://github.com/MichaelTran1226/Racehorse_Training_Management_System_MT_BE/issues/35" TargetMode="External" Id="Reaaf072d76054916" /><Relationship Type="http://schemas.openxmlformats.org/officeDocument/2006/relationships/hyperlink" Target="https://github.com/MichaelTran1226/Racehorse_Training_Management_System_MT_BE/issues/36" TargetMode="External" Id="R480783f942ff4e54" /><Relationship Type="http://schemas.openxmlformats.org/officeDocument/2006/relationships/hyperlink" Target="https://github.com/MichaelTran1226/Racehorse_Training_Management_System_MT_BE/issues/37" TargetMode="External" Id="R017c4f81b6c144b3" /><Relationship Type="http://schemas.openxmlformats.org/officeDocument/2006/relationships/hyperlink" Target="https://github.com/MichaelTran1226/Racehorse_Training_Management_System_MT_BE/issues/38" TargetMode="External" Id="R6ab7593ddac24b84" /><Relationship Type="http://schemas.openxmlformats.org/officeDocument/2006/relationships/hyperlink" Target="https://github.com/MichaelTran1226/Racehorse_Training_Management_System_MT_BE/issues/39" TargetMode="External" Id="Rc4455d18ccd140ee" /><Relationship Type="http://schemas.openxmlformats.org/officeDocument/2006/relationships/hyperlink" Target="https://github.com/MichaelTran1226/Racehorse_Training_Management_System_MT_BE/issues/40" TargetMode="External" Id="Rb8e7535d3ac54946" /><Relationship Type="http://schemas.openxmlformats.org/officeDocument/2006/relationships/hyperlink" Target="https://github.com/MichaelTran1226/Racehorse_Training_Management_System_MT_BE/issues/41" TargetMode="External" Id="R0d4e271944c04c56" /><Relationship Type="http://schemas.openxmlformats.org/officeDocument/2006/relationships/hyperlink" Target="https://github.com/MichaelTran1226/Racehorse_Training_Management_System_MT_BE/issues/42" TargetMode="External" Id="R89a9cb29582048e3" /><Relationship Type="http://schemas.openxmlformats.org/officeDocument/2006/relationships/hyperlink" Target="https://github.com/MichaelTran1226/Racehorse_Training_Management_System_MT_BE/issues/43" TargetMode="External" Id="R1dbb7ab88b4f4666" /><Relationship Type="http://schemas.openxmlformats.org/officeDocument/2006/relationships/hyperlink" Target="https://github.com/MichaelTran1226/Racehorse_Training_Management_System_MT_BE/issues/44" TargetMode="External" Id="Rab3441964ad5496d" /><Relationship Type="http://schemas.openxmlformats.org/officeDocument/2006/relationships/hyperlink" Target="https://github.com/MichaelTran1226/Racehorse_Training_Management_System_MT_BE/issues/45" TargetMode="External" Id="R0cdc899356aa4119" /><Relationship Type="http://schemas.openxmlformats.org/officeDocument/2006/relationships/hyperlink" Target="https://github.com/MichaelTran1226/Racehorse_Training_Management_System_MT_BE/issues/46" TargetMode="External" Id="R0b0de9d1b29547ee" /><Relationship Type="http://schemas.openxmlformats.org/officeDocument/2006/relationships/hyperlink" Target="https://github.com/MichaelTran1226/Racehorse_Training_Management_System_MT_BE/issues/47" TargetMode="External" Id="Re59331479e1d4af2" /><Relationship Type="http://schemas.openxmlformats.org/officeDocument/2006/relationships/hyperlink" Target="https://github.com/MichaelTran1226/Racehorse_Training_Management_System_MT_BE/issues/48" TargetMode="External" Id="R89659989ece14774" /><Relationship Type="http://schemas.openxmlformats.org/officeDocument/2006/relationships/hyperlink" Target="https://github.com/MichaelTran1226/Racehorse_Training_Management_System_MT_BE/issues/49" TargetMode="External" Id="R3395cc0f1a554a23" /><Relationship Type="http://schemas.openxmlformats.org/officeDocument/2006/relationships/hyperlink" Target="https://github.com/MichaelTran1226/Racehorse_Training_Management_System_MT_BE/issues/50" TargetMode="External" Id="R278821ba1bcd475c" /><Relationship Type="http://schemas.openxmlformats.org/officeDocument/2006/relationships/hyperlink" Target="https://github.com/MichaelTran1226/Racehorse_Training_Management_System_MT_BE/issues/51" TargetMode="External" Id="R593f8b4e57c94906" /><Relationship Type="http://schemas.openxmlformats.org/officeDocument/2006/relationships/hyperlink" Target="https://github.com/MichaelTran1226/Racehorse_Training_Management_System_MT_BE/issues/52" TargetMode="External" Id="Rc6dac3d314114c12" /><Relationship Type="http://schemas.openxmlformats.org/officeDocument/2006/relationships/hyperlink" Target="https://github.com/MichaelTran1226/Racehorse_Training_Management_System_MT_BE/issues/53" TargetMode="External" Id="R129e812bdee043f3" /><Relationship Type="http://schemas.openxmlformats.org/officeDocument/2006/relationships/hyperlink" Target="https://github.com/MichaelTran1226/Racehorse_Training_Management_System_MT_BE/issues/54" TargetMode="External" Id="Raa285e1976534bb6" /><Relationship Type="http://schemas.openxmlformats.org/officeDocument/2006/relationships/hyperlink" Target="https://github.com/MichaelTran1226/Racehorse_Training_Management_System_MT_BE/issues/55" TargetMode="External" Id="R682c58adc0724d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ithub.com/MichaelTran1226/Racehorse_Training_Management_System_MT_BE/issues/31" TargetMode="External" Id="Rf68358c4aaf641de" /><Relationship Type="http://schemas.openxmlformats.org/officeDocument/2006/relationships/hyperlink" Target="https://github.com/MichaelTran1226/Racehorse_Training_Management_System_MT_BE/issues/32" TargetMode="External" Id="Reb3e877a5185404b" /><Relationship Type="http://schemas.openxmlformats.org/officeDocument/2006/relationships/hyperlink" Target="https://github.com/MichaelTran1226/Racehorse_Training_Management_System_MT_BE/issues/32" TargetMode="External" Id="R28dafdb64fa941a0" /><Relationship Type="http://schemas.openxmlformats.org/officeDocument/2006/relationships/hyperlink" Target="https://github.com/MichaelTran1226/Racehorse_Training_Management_System_MT_BE/issues/32" TargetMode="External" Id="R11d775105977477d" /><Relationship Type="http://schemas.openxmlformats.org/officeDocument/2006/relationships/hyperlink" Target="https://github.com/MichaelTran1226/Racehorse_Training_Management_System_MT_BE/issues/32" TargetMode="External" Id="Rcd6842afbad04998" /><Relationship Type="http://schemas.openxmlformats.org/officeDocument/2006/relationships/hyperlink" Target="https://github.com/MichaelTran1226/Racehorse_Training_Management_System_MT_BE/issues/32" TargetMode="External" Id="Rfb012be3569f428e" /><Relationship Type="http://schemas.openxmlformats.org/officeDocument/2006/relationships/hyperlink" Target="https://github.com/MichaelTran1226/Racehorse_Training_Management_System_MT_BE/issues/32" TargetMode="External" Id="R36158cb6845f4b39" /><Relationship Type="http://schemas.openxmlformats.org/officeDocument/2006/relationships/hyperlink" Target="https://github.com/MichaelTran1226/Racehorse_Training_Management_System_MT_BE/issues/32" TargetMode="External" Id="R563982ba3f7d4cdb" /><Relationship Type="http://schemas.openxmlformats.org/officeDocument/2006/relationships/hyperlink" Target="https://github.com/MichaelTran1226/Racehorse_Training_Management_System_MT_BE/issues/32" TargetMode="External" Id="Rf678ee5013254546" /><Relationship Type="http://schemas.openxmlformats.org/officeDocument/2006/relationships/hyperlink" Target="https://github.com/MichaelTran1226/Racehorse_Training_Management_System_MT_BE/issues/33" TargetMode="External" Id="R81d252f2b0fb4043" /><Relationship Type="http://schemas.openxmlformats.org/officeDocument/2006/relationships/hyperlink" Target="https://github.com/MichaelTran1226/Racehorse_Training_Management_System_MT_BE/issues/33" TargetMode="External" Id="R4f792acc2d7a4d40" /><Relationship Type="http://schemas.openxmlformats.org/officeDocument/2006/relationships/hyperlink" Target="https://github.com/MichaelTran1226/Racehorse_Training_Management_System_MT_BE/issues/33" TargetMode="External" Id="Re6b0d3e9571e4d57" /><Relationship Type="http://schemas.openxmlformats.org/officeDocument/2006/relationships/hyperlink" Target="https://github.com/MichaelTran1226/Racehorse_Training_Management_System_MT_BE/issues/33" TargetMode="External" Id="Rfc0a77b529c54a4a" /><Relationship Type="http://schemas.openxmlformats.org/officeDocument/2006/relationships/hyperlink" Target="https://github.com/MichaelTran1226/Racehorse_Training_Management_System_MT_BE/issues/34" TargetMode="External" Id="R2962a4de67d04a2e" /><Relationship Type="http://schemas.openxmlformats.org/officeDocument/2006/relationships/hyperlink" Target="https://github.com/MichaelTran1226/Racehorse_Training_Management_System_MT_BE/issues/34" TargetMode="External" Id="Rca5ec3154e354261" /><Relationship Type="http://schemas.openxmlformats.org/officeDocument/2006/relationships/hyperlink" Target="https://github.com/MichaelTran1226/Racehorse_Training_Management_System_MT_BE/issues/34" TargetMode="External" Id="R80aedcbbaacf41e0" /><Relationship Type="http://schemas.openxmlformats.org/officeDocument/2006/relationships/hyperlink" Target="https://github.com/MichaelTran1226/Racehorse_Training_Management_System_MT_BE/issues/34" TargetMode="External" Id="R7a365ac4793640e1" /><Relationship Type="http://schemas.openxmlformats.org/officeDocument/2006/relationships/hyperlink" Target="https://github.com/MichaelTran1226/Racehorse_Training_Management_System_MT_BE/issues/35" TargetMode="External" Id="R3f02387a70c64e53" /><Relationship Type="http://schemas.openxmlformats.org/officeDocument/2006/relationships/hyperlink" Target="https://github.com/MichaelTran1226/Racehorse_Training_Management_System_MT_BE/issues/35" TargetMode="External" Id="Rb46f1ca1edb44f1f" /><Relationship Type="http://schemas.openxmlformats.org/officeDocument/2006/relationships/hyperlink" Target="https://github.com/MichaelTran1226/Racehorse_Training_Management_System_MT_BE/issues/35" TargetMode="External" Id="R23b5cb671f3d4bc3" /><Relationship Type="http://schemas.openxmlformats.org/officeDocument/2006/relationships/hyperlink" Target="https://github.com/MichaelTran1226/Racehorse_Training_Management_System_MT_BE/issues/35" TargetMode="External" Id="Rab6f9133978447c0" /><Relationship Type="http://schemas.openxmlformats.org/officeDocument/2006/relationships/hyperlink" Target="https://github.com/MichaelTran1226/Racehorse_Training_Management_System_MT_BE/issues/36" TargetMode="External" Id="Rb8b6edadbc9b49d4" /><Relationship Type="http://schemas.openxmlformats.org/officeDocument/2006/relationships/hyperlink" Target="https://github.com/MichaelTran1226/Racehorse_Training_Management_System_MT_BE/issues/36" TargetMode="External" Id="R5b6cc94c48a047bb" /><Relationship Type="http://schemas.openxmlformats.org/officeDocument/2006/relationships/hyperlink" Target="https://github.com/MichaelTran1226/Racehorse_Training_Management_System_MT_BE/issues/36" TargetMode="External" Id="Rc55aa529cc5f41c5" /><Relationship Type="http://schemas.openxmlformats.org/officeDocument/2006/relationships/hyperlink" Target="https://github.com/MichaelTran1226/Racehorse_Training_Management_System_MT_BE/issues/36" TargetMode="External" Id="R97ff0a2386084199" /><Relationship Type="http://schemas.openxmlformats.org/officeDocument/2006/relationships/hyperlink" Target="https://github.com/MichaelTran1226/Racehorse_Training_Management_System_MT_BE/issues/36" TargetMode="External" Id="Rfaca7ef1e3c9442e" /><Relationship Type="http://schemas.openxmlformats.org/officeDocument/2006/relationships/hyperlink" Target="https://github.com/MichaelTran1226/Racehorse_Training_Management_System_MT_BE/issues/36" TargetMode="External" Id="R4580688bae204851" /><Relationship Type="http://schemas.openxmlformats.org/officeDocument/2006/relationships/hyperlink" Target="https://github.com/MichaelTran1226/Racehorse_Training_Management_System_MT_BE/issues/37" TargetMode="External" Id="R58ab5b4fb7ad4348" /><Relationship Type="http://schemas.openxmlformats.org/officeDocument/2006/relationships/hyperlink" Target="https://github.com/MichaelTran1226/Racehorse_Training_Management_System_MT_BE/issues/37" TargetMode="External" Id="R193a61d6dc754262" /><Relationship Type="http://schemas.openxmlformats.org/officeDocument/2006/relationships/hyperlink" Target="https://github.com/MichaelTran1226/Racehorse_Training_Management_System_MT_BE/issues/37" TargetMode="External" Id="R0bcb53a5dd774098" /><Relationship Type="http://schemas.openxmlformats.org/officeDocument/2006/relationships/hyperlink" Target="https://github.com/MichaelTran1226/Racehorse_Training_Management_System_MT_BE/issues/38" TargetMode="External" Id="R703e38df6ca64326" /><Relationship Type="http://schemas.openxmlformats.org/officeDocument/2006/relationships/hyperlink" Target="https://github.com/MichaelTran1226/Racehorse_Training_Management_System_MT_BE/issues/38" TargetMode="External" Id="Rb8757deaf8bb421e" /><Relationship Type="http://schemas.openxmlformats.org/officeDocument/2006/relationships/hyperlink" Target="https://github.com/MichaelTran1226/Racehorse_Training_Management_System_MT_BE/issues/38" TargetMode="External" Id="R587750dc53ef42ba" /><Relationship Type="http://schemas.openxmlformats.org/officeDocument/2006/relationships/hyperlink" Target="https://github.com/MichaelTran1226/Racehorse_Training_Management_System_MT_BE/issues/38" TargetMode="External" Id="R01259f404d7c449e" /><Relationship Type="http://schemas.openxmlformats.org/officeDocument/2006/relationships/hyperlink" Target="https://github.com/MichaelTran1226/Racehorse_Training_Management_System_MT_BE/issues/39" TargetMode="External" Id="R1b09cdc9b3bf48dc" /><Relationship Type="http://schemas.openxmlformats.org/officeDocument/2006/relationships/hyperlink" Target="https://github.com/MichaelTran1226/Racehorse_Training_Management_System_MT_BE/issues/39" TargetMode="External" Id="R40d0f5fefb2c426a" /><Relationship Type="http://schemas.openxmlformats.org/officeDocument/2006/relationships/hyperlink" Target="https://github.com/MichaelTran1226/Racehorse_Training_Management_System_MT_BE/issues/39" TargetMode="External" Id="R6d2d38644b1e426d" /><Relationship Type="http://schemas.openxmlformats.org/officeDocument/2006/relationships/hyperlink" Target="https://github.com/MichaelTran1226/Racehorse_Training_Management_System_MT_BE/issues/39" TargetMode="External" Id="R4341aea174d14e55" /><Relationship Type="http://schemas.openxmlformats.org/officeDocument/2006/relationships/hyperlink" Target="https://github.com/MichaelTran1226/Racehorse_Training_Management_System_MT_BE/issues/39" TargetMode="External" Id="R98d2694978924f08" /><Relationship Type="http://schemas.openxmlformats.org/officeDocument/2006/relationships/hyperlink" Target="https://github.com/MichaelTran1226/Racehorse_Training_Management_System_MT_BE/issues/39" TargetMode="External" Id="Rbc3f219a496642d8" /><Relationship Type="http://schemas.openxmlformats.org/officeDocument/2006/relationships/hyperlink" Target="https://github.com/MichaelTran1226/Racehorse_Training_Management_System_MT_BE/issues/39" TargetMode="External" Id="R247abe4d487f4497" /><Relationship Type="http://schemas.openxmlformats.org/officeDocument/2006/relationships/hyperlink" Target="https://github.com/MichaelTran1226/Racehorse_Training_Management_System_MT_BE/issues/39" TargetMode="External" Id="Rf3e1d78262f64b37" /><Relationship Type="http://schemas.openxmlformats.org/officeDocument/2006/relationships/hyperlink" Target="https://github.com/MichaelTran1226/Racehorse_Training_Management_System_MT_BE/issues/40" TargetMode="External" Id="R670f00683b5540e6" /><Relationship Type="http://schemas.openxmlformats.org/officeDocument/2006/relationships/hyperlink" Target="https://github.com/MichaelTran1226/Racehorse_Training_Management_System_MT_BE/issues/40" TargetMode="External" Id="R2fb5e418060740a8" /><Relationship Type="http://schemas.openxmlformats.org/officeDocument/2006/relationships/hyperlink" Target="https://github.com/MichaelTran1226/Racehorse_Training_Management_System_MT_BE/issues/40" TargetMode="External" Id="Re36ee16f2de541d5" /><Relationship Type="http://schemas.openxmlformats.org/officeDocument/2006/relationships/hyperlink" Target="https://github.com/MichaelTran1226/Racehorse_Training_Management_System_MT_BE/issues/40" TargetMode="External" Id="R6df056304ac5426a" /><Relationship Type="http://schemas.openxmlformats.org/officeDocument/2006/relationships/hyperlink" Target="https://github.com/MichaelTran1226/Racehorse_Training_Management_System_MT_BE/issues/40" TargetMode="External" Id="R3899f2be3c914a92" /><Relationship Type="http://schemas.openxmlformats.org/officeDocument/2006/relationships/hyperlink" Target="https://github.com/MichaelTran1226/Racehorse_Training_Management_System_MT_BE/issues/40" TargetMode="External" Id="Rdb76641b5a2245ab" /><Relationship Type="http://schemas.openxmlformats.org/officeDocument/2006/relationships/hyperlink" Target="https://github.com/MichaelTran1226/Racehorse_Training_Management_System_MT_BE/issues/41" TargetMode="External" Id="R54f6ae34a6c345e1" /><Relationship Type="http://schemas.openxmlformats.org/officeDocument/2006/relationships/hyperlink" Target="https://github.com/MichaelTran1226/Racehorse_Training_Management_System_MT_BE/issues/41" TargetMode="External" Id="R96813d3504e84c18" /><Relationship Type="http://schemas.openxmlformats.org/officeDocument/2006/relationships/hyperlink" Target="https://github.com/MichaelTran1226/Racehorse_Training_Management_System_MT_BE/issues/42" TargetMode="External" Id="Rf357278a4ad24222" /><Relationship Type="http://schemas.openxmlformats.org/officeDocument/2006/relationships/hyperlink" Target="https://github.com/MichaelTran1226/Racehorse_Training_Management_System_MT_BE/issues/42" TargetMode="External" Id="Rab403abf5a414b0c" /><Relationship Type="http://schemas.openxmlformats.org/officeDocument/2006/relationships/hyperlink" Target="https://github.com/MichaelTran1226/Racehorse_Training_Management_System_MT_BE/issues/42" TargetMode="External" Id="R11fd95f9eadb4585" /><Relationship Type="http://schemas.openxmlformats.org/officeDocument/2006/relationships/hyperlink" Target="https://github.com/MichaelTran1226/Racehorse_Training_Management_System_MT_BE/issues/42" TargetMode="External" Id="R54a7e8d425c0485c" /><Relationship Type="http://schemas.openxmlformats.org/officeDocument/2006/relationships/hyperlink" Target="https://github.com/MichaelTran1226/Racehorse_Training_Management_System_MT_BE/issues/42" TargetMode="External" Id="R70d34b8234bc4f66" /><Relationship Type="http://schemas.openxmlformats.org/officeDocument/2006/relationships/hyperlink" Target="https://github.com/MichaelTran1226/Racehorse_Training_Management_System_MT_BE/issues/42" TargetMode="External" Id="Rcd3bc24882e2495c" /><Relationship Type="http://schemas.openxmlformats.org/officeDocument/2006/relationships/hyperlink" Target="https://github.com/MichaelTran1226/Racehorse_Training_Management_System_MT_BE/issues/43" TargetMode="External" Id="Ra5e97dd8355e4ae5" /><Relationship Type="http://schemas.openxmlformats.org/officeDocument/2006/relationships/hyperlink" Target="https://github.com/MichaelTran1226/Racehorse_Training_Management_System_MT_BE/issues/43" TargetMode="External" Id="Ra00515ec799547ab" /><Relationship Type="http://schemas.openxmlformats.org/officeDocument/2006/relationships/hyperlink" Target="https://github.com/MichaelTran1226/Racehorse_Training_Management_System_MT_BE/issues/44" TargetMode="External" Id="Rd889aa660bf24376" /><Relationship Type="http://schemas.openxmlformats.org/officeDocument/2006/relationships/hyperlink" Target="https://github.com/MichaelTran1226/Racehorse_Training_Management_System_MT_BE/issues/44" TargetMode="External" Id="R9ac65bca4e514568" /><Relationship Type="http://schemas.openxmlformats.org/officeDocument/2006/relationships/hyperlink" Target="https://github.com/MichaelTran1226/Racehorse_Training_Management_System_MT_BE/issues/45" TargetMode="External" Id="Ree78fc0e8c69499e" /><Relationship Type="http://schemas.openxmlformats.org/officeDocument/2006/relationships/hyperlink" Target="https://github.com/MichaelTran1226/Racehorse_Training_Management_System_MT_BE/issues/45" TargetMode="External" Id="R4c726c2035a04ef2" /><Relationship Type="http://schemas.openxmlformats.org/officeDocument/2006/relationships/hyperlink" Target="https://github.com/MichaelTran1226/Racehorse_Training_Management_System_MT_BE/issues/46" TargetMode="External" Id="R4084c614b4504c7d" /><Relationship Type="http://schemas.openxmlformats.org/officeDocument/2006/relationships/hyperlink" Target="https://github.com/MichaelTran1226/Racehorse_Training_Management_System_MT_BE/issues/46" TargetMode="External" Id="Rb7a8172123cb4b96" /><Relationship Type="http://schemas.openxmlformats.org/officeDocument/2006/relationships/hyperlink" Target="https://github.com/MichaelTran1226/Racehorse_Training_Management_System_MT_BE/issues/47" TargetMode="External" Id="R6b26eae7b7b84600" /><Relationship Type="http://schemas.openxmlformats.org/officeDocument/2006/relationships/hyperlink" Target="https://github.com/MichaelTran1226/Racehorse_Training_Management_System_MT_BE/issues/47" TargetMode="External" Id="R327634e608b44013" /><Relationship Type="http://schemas.openxmlformats.org/officeDocument/2006/relationships/hyperlink" Target="https://github.com/MichaelTran1226/Racehorse_Training_Management_System_MT_BE/issues/48" TargetMode="External" Id="R4e6f182af09e4ac8" /><Relationship Type="http://schemas.openxmlformats.org/officeDocument/2006/relationships/hyperlink" Target="https://github.com/MichaelTran1226/Racehorse_Training_Management_System_MT_BE/issues/48" TargetMode="External" Id="Ra972b28d2b584efa" /><Relationship Type="http://schemas.openxmlformats.org/officeDocument/2006/relationships/hyperlink" Target="https://github.com/MichaelTran1226/Racehorse_Training_Management_System_MT_BE/issues/49" TargetMode="External" Id="R6226dc36cb0a4ace" /><Relationship Type="http://schemas.openxmlformats.org/officeDocument/2006/relationships/hyperlink" Target="https://github.com/MichaelTran1226/Racehorse_Training_Management_System_MT_BE/issues/49" TargetMode="External" Id="Rc55cdf0e69a741bd" /><Relationship Type="http://schemas.openxmlformats.org/officeDocument/2006/relationships/hyperlink" Target="https://github.com/MichaelTran1226/Racehorse_Training_Management_System_MT_BE/issues/50" TargetMode="External" Id="Rbbc6d125823247f1" /><Relationship Type="http://schemas.openxmlformats.org/officeDocument/2006/relationships/hyperlink" Target="https://github.com/MichaelTran1226/Racehorse_Training_Management_System_MT_BE/issues/50" TargetMode="External" Id="R55d9f417ae744819" /><Relationship Type="http://schemas.openxmlformats.org/officeDocument/2006/relationships/hyperlink" Target="https://github.com/MichaelTran1226/Racehorse_Training_Management_System_MT_BE/issues/51" TargetMode="External" Id="R4dd913ceb58245ae" /><Relationship Type="http://schemas.openxmlformats.org/officeDocument/2006/relationships/hyperlink" Target="https://github.com/MichaelTran1226/Racehorse_Training_Management_System_MT_BE/issues/51" TargetMode="External" Id="Rdb609e0945d84cf3" /><Relationship Type="http://schemas.openxmlformats.org/officeDocument/2006/relationships/hyperlink" Target="https://github.com/MichaelTran1226/Racehorse_Training_Management_System_MT_BE/issues/51" TargetMode="External" Id="R1719fd4e89344e61" /><Relationship Type="http://schemas.openxmlformats.org/officeDocument/2006/relationships/hyperlink" Target="https://github.com/MichaelTran1226/Racehorse_Training_Management_System_MT_BE/issues/51" TargetMode="External" Id="R2cc4d67cfb704c5f" /><Relationship Type="http://schemas.openxmlformats.org/officeDocument/2006/relationships/hyperlink" Target="https://github.com/MichaelTran1226/Racehorse_Training_Management_System_MT_BE/issues/52" TargetMode="External" Id="R978dbaee0f17462d" /><Relationship Type="http://schemas.openxmlformats.org/officeDocument/2006/relationships/hyperlink" Target="https://github.com/MichaelTran1226/Racehorse_Training_Management_System_MT_BE/issues/52" TargetMode="External" Id="R67ca6700739645b4" /><Relationship Type="http://schemas.openxmlformats.org/officeDocument/2006/relationships/hyperlink" Target="https://github.com/MichaelTran1226/Racehorse_Training_Management_System_MT_BE/issues/52" TargetMode="External" Id="R2c565bb240a34be0" /><Relationship Type="http://schemas.openxmlformats.org/officeDocument/2006/relationships/hyperlink" Target="https://github.com/MichaelTran1226/Racehorse_Training_Management_System_MT_BE/issues/52" TargetMode="External" Id="Rabfdd20be0ce493e" /><Relationship Type="http://schemas.openxmlformats.org/officeDocument/2006/relationships/hyperlink" Target="https://github.com/MichaelTran1226/Racehorse_Training_Management_System_MT_BE/issues/53" TargetMode="External" Id="R09822b346e164048" /><Relationship Type="http://schemas.openxmlformats.org/officeDocument/2006/relationships/hyperlink" Target="https://github.com/MichaelTran1226/Racehorse_Training_Management_System_MT_BE/issues/53" TargetMode="External" Id="R88eb2b51d393448f" /><Relationship Type="http://schemas.openxmlformats.org/officeDocument/2006/relationships/hyperlink" Target="https://github.com/MichaelTran1226/Racehorse_Training_Management_System_MT_BE/issues/54" TargetMode="External" Id="R1dd1c8c801844525" /><Relationship Type="http://schemas.openxmlformats.org/officeDocument/2006/relationships/hyperlink" Target="https://github.com/MichaelTran1226/Racehorse_Training_Management_System_MT_BE/issues/54" TargetMode="External" Id="R71dc59d9fa934b2f" /><Relationship Type="http://schemas.openxmlformats.org/officeDocument/2006/relationships/hyperlink" Target="https://github.com/MichaelTran1226/Racehorse_Training_Management_System_MT_BE/issues/54" TargetMode="External" Id="Rd99a077661724bfc" /><Relationship Type="http://schemas.openxmlformats.org/officeDocument/2006/relationships/hyperlink" Target="https://github.com/MichaelTran1226/Racehorse_Training_Management_System_MT_BE/issues/54" TargetMode="External" Id="Rae61d1d375334e41" /><Relationship Type="http://schemas.openxmlformats.org/officeDocument/2006/relationships/hyperlink" Target="https://github.com/MichaelTran1226/Racehorse_Training_Management_System_MT_BE/issues/55" TargetMode="External" Id="R7aea730b73ee412f" /><Relationship Type="http://schemas.openxmlformats.org/officeDocument/2006/relationships/hyperlink" Target="https://github.com/MichaelTran1226/Racehorse_Training_Management_System_MT_BE/issues/55" TargetMode="External" Id="R45594bd93a9641e1" /></Relationships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4.399999618530273"/>
  <x:cols>
    <x:col min="1" max="1" width="8" customWidth="1"/>
    <x:col min="2" max="2" width="52" customWidth="1"/>
    <x:col min="4" max="5" width="18" customWidth="1"/>
    <x:col min="6" max="6" width="10" customWidth="1"/>
    <x:col min="7" max="9" width="12" customWidth="1"/>
    <x:col min="10" max="10" width="40" customWidth="1"/>
    <x:col min="12" max="12" width="1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>
      <x:c r="A2" s="2" t="s">
        <x:v>12</x:v>
      </x:c>
      <x:c r="B2" s="2" t="s">
        <x:v>13</x:v>
      </x:c>
      <x:c r="C2" s="2" t="s">
        <x:v>14</x:v>
      </x:c>
      <x:c r="D2" s="2" t="str">
        <x:f>IFERROR(INDEX('Thành viên'!$B$2:$B$4,MATCH(C2,'Thành viên'!$A$2:$A$4,0))&amp;"","")</x:f>
        <x:v>Cả 2 FE</x:v>
      </x:c>
      <x:c r="E2" s="2" t="str">
        <x:f>IFERROR(INDEX('Thành viên'!$C$2:$C$4,MATCH(C2,'Thành viên'!$A$2:$A$4,0))&amp;"","")</x:f>
        <x:v>Cả 2 BE</x:v>
      </x:c>
      <x:c r="F2" s="2" t="s">
        <x:v>15</x:v>
      </x:c>
      <x:c r="G2" s="3">
        <x:v>46293</x:v>
      </x:c>
      <x:c r="H2" s="3">
        <x:v>46299</x:v>
      </x:c>
      <x:c r="I2" s="2" t="s">
        <x:v>16</x:v>
      </x:c>
      <x:c r="J2" s="2" t="s">
        <x:v>17</x:v>
      </x:c>
      <x:c r="K2" s="4" t="s">
        <x:v>18</x:v>
      </x:c>
      <x:c r="L2" s="5" t="s">
        <x:v>19</x:v>
      </x:c>
    </x:row>
    <x:row r="3">
      <x:c r="A3" s="2" t="s">
        <x:v>20</x:v>
      </x:c>
      <x:c r="B3" s="2" t="s">
        <x:v>21</x:v>
      </x:c>
      <x:c r="C3" s="2" t="s">
        <x:v>22</x:v>
      </x:c>
      <x:c r="D3" s="2" t="str">
        <x:f>IFERROR(INDEX('Thành viên'!$B$2:$B$4,MATCH(C3,'Thành viên'!$A$2:$A$4,0))&amp;"","")</x:f>
      </x:c>
      <x:c r="E3" s="2" t="str">
        <x:f>IFERROR(INDEX('Thành viên'!$C$2:$C$4,MATCH(C3,'Thành viên'!$A$2:$A$4,0))&amp;"","")</x:f>
      </x:c>
      <x:c r="F3" s="2" t="s">
        <x:v>15</x:v>
      </x:c>
      <x:c r="G3" s="3">
        <x:v>46293</x:v>
      </x:c>
      <x:c r="H3" s="3">
        <x:v>46299</x:v>
      </x:c>
      <x:c r="I3" s="2" t="s">
        <x:v>16</x:v>
      </x:c>
      <x:c r="J3" s="2" t="s">
        <x:v>23</x:v>
      </x:c>
      <x:c r="K3" s="4" t="s">
        <x:v>24</x:v>
      </x:c>
      <x:c r="L3" s="5" t="s">
        <x:v>19</x:v>
      </x:c>
    </x:row>
    <x:row r="4">
      <x:c r="A4" s="2" t="s">
        <x:v>25</x:v>
      </x:c>
      <x:c r="B4" s="2" t="s">
        <x:v>26</x:v>
      </x:c>
      <x:c r="C4" s="2" t="s">
        <x:v>22</x:v>
      </x:c>
      <x:c r="D4" s="2" t="str">
        <x:f>IFERROR(INDEX('Thành viên'!$B$2:$B$4,MATCH(C4,'Thành viên'!$A$2:$A$4,0))&amp;"","")</x:f>
      </x:c>
      <x:c r="E4" s="2" t="str">
        <x:f>IFERROR(INDEX('Thành viên'!$C$2:$C$4,MATCH(C4,'Thành viên'!$A$2:$A$4,0))&amp;"","")</x:f>
      </x:c>
      <x:c r="F4" s="2" t="s">
        <x:v>15</x:v>
      </x:c>
      <x:c r="G4" s="3">
        <x:v>46293</x:v>
      </x:c>
      <x:c r="H4" s="3">
        <x:v>46299</x:v>
      </x:c>
      <x:c r="I4" s="2" t="s">
        <x:v>16</x:v>
      </x:c>
      <x:c r="J4" s="2" t="s">
        <x:v>23</x:v>
      </x:c>
      <x:c r="K4" s="4" t="s">
        <x:v>27</x:v>
      </x:c>
      <x:c r="L4" s="5" t="s">
        <x:v>19</x:v>
      </x:c>
    </x:row>
    <x:row r="5">
      <x:c r="A5" s="2" t="s">
        <x:v>28</x:v>
      </x:c>
      <x:c r="B5" s="2" t="s">
        <x:v>29</x:v>
      </x:c>
      <x:c r="C5" s="2" t="s">
        <x:v>22</x:v>
      </x:c>
      <x:c r="D5" s="2" t="str">
        <x:f>IFERROR(INDEX('Thành viên'!$B$2:$B$4,MATCH(C5,'Thành viên'!$A$2:$A$4,0))&amp;"","")</x:f>
      </x:c>
      <x:c r="E5" s="2" t="str">
        <x:f>IFERROR(INDEX('Thành viên'!$C$2:$C$4,MATCH(C5,'Thành viên'!$A$2:$A$4,0))&amp;"","")</x:f>
      </x:c>
      <x:c r="F5" s="2" t="s">
        <x:v>15</x:v>
      </x:c>
      <x:c r="G5" s="3">
        <x:v>46293</x:v>
      </x:c>
      <x:c r="H5" s="3">
        <x:v>46299</x:v>
      </x:c>
      <x:c r="I5" s="2" t="s">
        <x:v>16</x:v>
      </x:c>
      <x:c r="J5" s="2" t="s">
        <x:v>23</x:v>
      </x:c>
      <x:c r="K5" s="4" t="s">
        <x:v>30</x:v>
      </x:c>
      <x:c r="L5" s="5" t="s">
        <x:v>19</x:v>
      </x:c>
    </x:row>
    <x:row r="6">
      <x:c r="A6" s="2" t="s">
        <x:v>31</x:v>
      </x:c>
      <x:c r="B6" s="2" t="s">
        <x:v>32</x:v>
      </x:c>
      <x:c r="C6" s="2" t="s">
        <x:v>22</x:v>
      </x:c>
      <x:c r="D6" s="2" t="str">
        <x:f>IFERROR(INDEX('Thành viên'!$B$2:$B$4,MATCH(C6,'Thành viên'!$A$2:$A$4,0))&amp;"","")</x:f>
      </x:c>
      <x:c r="E6" s="2" t="str">
        <x:f>IFERROR(INDEX('Thành viên'!$C$2:$C$4,MATCH(C6,'Thành viên'!$A$2:$A$4,0))&amp;"","")</x:f>
      </x:c>
      <x:c r="F6" s="2" t="s">
        <x:v>15</x:v>
      </x:c>
      <x:c r="G6" s="3">
        <x:v>46293</x:v>
      </x:c>
      <x:c r="H6" s="3">
        <x:v>46299</x:v>
      </x:c>
      <x:c r="I6" s="2" t="s">
        <x:v>16</x:v>
      </x:c>
      <x:c r="J6" s="2" t="s">
        <x:v>23</x:v>
      </x:c>
      <x:c r="K6" s="4" t="s">
        <x:v>33</x:v>
      </x:c>
      <x:c r="L6" s="5" t="s">
        <x:v>19</x:v>
      </x:c>
    </x:row>
    <x:row r="7">
      <x:c r="A7" s="2" t="s">
        <x:v>34</x:v>
      </x:c>
      <x:c r="B7" s="2" t="s">
        <x:v>35</x:v>
      </x:c>
      <x:c r="C7" s="2" t="s">
        <x:v>22</x:v>
      </x:c>
      <x:c r="D7" s="2" t="str">
        <x:f>IFERROR(INDEX('Thành viên'!$B$2:$B$4,MATCH(C7,'Thành viên'!$A$2:$A$4,0))&amp;"","")</x:f>
      </x:c>
      <x:c r="E7" s="2" t="str">
        <x:f>IFERROR(INDEX('Thành viên'!$C$2:$C$4,MATCH(C7,'Thành viên'!$A$2:$A$4,0))&amp;"","")</x:f>
      </x:c>
      <x:c r="F7" s="2" t="s">
        <x:v>15</x:v>
      </x:c>
      <x:c r="G7" s="3">
        <x:v>46293</x:v>
      </x:c>
      <x:c r="H7" s="3">
        <x:v>46299</x:v>
      </x:c>
      <x:c r="I7" s="2" t="s">
        <x:v>16</x:v>
      </x:c>
      <x:c r="J7" s="2" t="s">
        <x:v>23</x:v>
      </x:c>
      <x:c r="K7" s="4" t="s">
        <x:v>36</x:v>
      </x:c>
      <x:c r="L7" s="5" t="s">
        <x:v>19</x:v>
      </x:c>
    </x:row>
    <x:row r="8">
      <x:c r="A8" s="2" t="s">
        <x:v>37</x:v>
      </x:c>
      <x:c r="B8" s="2" t="s">
        <x:v>38</x:v>
      </x:c>
      <x:c r="C8" s="2" t="s">
        <x:v>22</x:v>
      </x:c>
      <x:c r="D8" s="2" t="str">
        <x:f>IFERROR(INDEX('Thành viên'!$B$2:$B$4,MATCH(C8,'Thành viên'!$A$2:$A$4,0))&amp;"","")</x:f>
      </x:c>
      <x:c r="E8" s="2" t="str">
        <x:f>IFERROR(INDEX('Thành viên'!$C$2:$C$4,MATCH(C8,'Thành viên'!$A$2:$A$4,0))&amp;"","")</x:f>
      </x:c>
      <x:c r="F8" s="2" t="s">
        <x:v>15</x:v>
      </x:c>
      <x:c r="G8" s="3">
        <x:v>46293</x:v>
      </x:c>
      <x:c r="H8" s="3">
        <x:v>46299</x:v>
      </x:c>
      <x:c r="I8" s="2" t="s">
        <x:v>16</x:v>
      </x:c>
      <x:c r="J8" s="2" t="s">
        <x:v>23</x:v>
      </x:c>
      <x:c r="K8" s="4" t="s">
        <x:v>39</x:v>
      </x:c>
      <x:c r="L8" s="5" t="s">
        <x:v>19</x:v>
      </x:c>
    </x:row>
    <x:row r="9">
      <x:c r="A9" s="2" t="s">
        <x:v>40</x:v>
      </x:c>
      <x:c r="B9" s="2" t="s">
        <x:v>41</x:v>
      </x:c>
      <x:c r="C9" s="2" t="s">
        <x:v>22</x:v>
      </x:c>
      <x:c r="D9" s="2" t="str">
        <x:f>IFERROR(INDEX('Thành viên'!$B$2:$B$4,MATCH(C9,'Thành viên'!$A$2:$A$4,0))&amp;"","")</x:f>
      </x:c>
      <x:c r="E9" s="2" t="str">
        <x:f>IFERROR(INDEX('Thành viên'!$C$2:$C$4,MATCH(C9,'Thành viên'!$A$2:$A$4,0))&amp;"","")</x:f>
      </x:c>
      <x:c r="F9" s="2" t="s">
        <x:v>42</x:v>
      </x:c>
      <x:c r="G9" s="3">
        <x:v>46300</x:v>
      </x:c>
      <x:c r="H9" s="3">
        <x:v>46306</x:v>
      </x:c>
      <x:c r="I9" s="2" t="s">
        <x:v>43</x:v>
      </x:c>
      <x:c r="J9" s="11" t="s">
        <x:v>44</x:v>
      </x:c>
      <x:c r="K9" s="4" t="s">
        <x:v>45</x:v>
      </x:c>
      <x:c r="L9" s="5" t="s">
        <x:v>19</x:v>
      </x:c>
    </x:row>
    <x:row r="10" ht="26.399999618530273">
      <x:c r="A10" s="2" t="s">
        <x:v>46</x:v>
      </x:c>
      <x:c r="B10" s="2" t="s">
        <x:v>47</x:v>
      </x:c>
      <x:c r="C10" s="2" t="s">
        <x:v>22</x:v>
      </x:c>
      <x:c r="D10" s="2" t="str">
        <x:f>IFERROR(INDEX('Thành viên'!$B$2:$B$4,MATCH(C10,'Thành viên'!$A$2:$A$4,0))&amp;"","")</x:f>
      </x:c>
      <x:c r="E10" s="2" t="str">
        <x:f>IFERROR(INDEX('Thành viên'!$C$2:$C$4,MATCH(C10,'Thành viên'!$A$2:$A$4,0))&amp;"","")</x:f>
      </x:c>
      <x:c r="F10" s="2" t="s">
        <x:v>42</x:v>
      </x:c>
      <x:c r="G10" s="3">
        <x:v>46300</x:v>
      </x:c>
      <x:c r="H10" s="3">
        <x:v>46306</x:v>
      </x:c>
      <x:c r="I10" s="2" t="s">
        <x:v>16</x:v>
      </x:c>
      <x:c r="J10" s="2" t="s">
        <x:v>48</x:v>
      </x:c>
      <x:c r="K10" s="4" t="s">
        <x:v>49</x:v>
      </x:c>
      <x:c r="L10" s="5" t="s">
        <x:v>19</x:v>
      </x:c>
    </x:row>
    <x:row r="11" ht="26.399999618530273">
      <x:c r="A11" s="2" t="s">
        <x:v>50</x:v>
      </x:c>
      <x:c r="B11" s="2" t="s">
        <x:v>51</x:v>
      </x:c>
      <x:c r="C11" s="2" t="s">
        <x:v>22</x:v>
      </x:c>
      <x:c r="D11" s="2" t="str">
        <x:f>IFERROR(INDEX('Thành viên'!$B$2:$B$4,MATCH(C11,'Thành viên'!$A$2:$A$4,0))&amp;"","")</x:f>
      </x:c>
      <x:c r="E11" s="2" t="str">
        <x:f>IFERROR(INDEX('Thành viên'!$C$2:$C$4,MATCH(C11,'Thành viên'!$A$2:$A$4,0))&amp;"","")</x:f>
      </x:c>
      <x:c r="F11" s="2" t="s">
        <x:v>42</x:v>
      </x:c>
      <x:c r="G11" s="3">
        <x:v>46300</x:v>
      </x:c>
      <x:c r="H11" s="3">
        <x:v>46306</x:v>
      </x:c>
      <x:c r="I11" s="2" t="s">
        <x:v>43</x:v>
      </x:c>
      <x:c r="J11" s="2" t="s">
        <x:v>52</x:v>
      </x:c>
      <x:c r="K11" s="4" t="s">
        <x:v>53</x:v>
      </x:c>
      <x:c r="L11" s="5" t="s">
        <x:v>19</x:v>
      </x:c>
    </x:row>
    <x:row r="12">
      <x:c r="A12" s="2" t="s">
        <x:v>54</x:v>
      </x:c>
      <x:c r="B12" s="2" t="s">
        <x:v>55</x:v>
      </x:c>
      <x:c r="C12" s="2" t="s">
        <x:v>22</x:v>
      </x:c>
      <x:c r="D12" s="2" t="str">
        <x:f>IFERROR(INDEX('Thành viên'!$B$2:$B$4,MATCH(C12,'Thành viên'!$A$2:$A$4,0))&amp;"","")</x:f>
      </x:c>
      <x:c r="E12" s="2" t="str">
        <x:f>IFERROR(INDEX('Thành viên'!$C$2:$C$4,MATCH(C12,'Thành viên'!$A$2:$A$4,0))&amp;"","")</x:f>
      </x:c>
      <x:c r="F12" s="2" t="s">
        <x:v>56</x:v>
      </x:c>
      <x:c r="G12" s="3">
        <x:v>46307</x:v>
      </x:c>
      <x:c r="H12" s="3">
        <x:v>46313</x:v>
      </x:c>
      <x:c r="I12" s="2" t="s">
        <x:v>43</x:v>
      </x:c>
      <x:c r="J12" s="2" t="s">
        <x:v>57</x:v>
      </x:c>
      <x:c r="K12" s="4" t="s">
        <x:v>58</x:v>
      </x:c>
      <x:c r="L12" s="5" t="s">
        <x:v>19</x:v>
      </x:c>
    </x:row>
    <x:row r="13" ht="26.399999618530273">
      <x:c r="A13" s="2" t="s">
        <x:v>59</x:v>
      </x:c>
      <x:c r="B13" s="2" t="s">
        <x:v>60</x:v>
      </x:c>
      <x:c r="C13" s="2" t="s">
        <x:v>22</x:v>
      </x:c>
      <x:c r="D13" s="2" t="str">
        <x:f>IFERROR(INDEX('Thành viên'!$B$2:$B$4,MATCH(C13,'Thành viên'!$A$2:$A$4,0))&amp;"","")</x:f>
      </x:c>
      <x:c r="E13" s="2" t="str">
        <x:f>IFERROR(INDEX('Thành viên'!$C$2:$C$4,MATCH(C13,'Thành viên'!$A$2:$A$4,0))&amp;"","")</x:f>
      </x:c>
      <x:c r="F13" s="2" t="s">
        <x:v>56</x:v>
      </x:c>
      <x:c r="G13" s="3">
        <x:v>46307</x:v>
      </x:c>
      <x:c r="H13" s="3">
        <x:v>46313</x:v>
      </x:c>
      <x:c r="I13" s="2" t="s">
        <x:v>61</x:v>
      </x:c>
      <x:c r="J13" s="2" t="s">
        <x:v>62</x:v>
      </x:c>
      <x:c r="K13" s="4" t="s">
        <x:v>63</x:v>
      </x:c>
      <x:c r="L13" s="5" t="s">
        <x:v>19</x:v>
      </x:c>
    </x:row>
    <x:row r="14">
      <x:c r="A14" s="2" t="s">
        <x:v>64</x:v>
      </x:c>
      <x:c r="B14" s="2" t="s">
        <x:v>65</x:v>
      </x:c>
      <x:c r="C14" s="2" t="s">
        <x:v>22</x:v>
      </x:c>
      <x:c r="D14" s="2" t="str">
        <x:f>IFERROR(INDEX('Thành viên'!$B$2:$B$4,MATCH(C14,'Thành viên'!$A$2:$A$4,0))&amp;"","")</x:f>
      </x:c>
      <x:c r="E14" s="2" t="str">
        <x:f>IFERROR(INDEX('Thành viên'!$C$2:$C$4,MATCH(C14,'Thành viên'!$A$2:$A$4,0))&amp;"","")</x:f>
      </x:c>
      <x:c r="F14" s="2" t="s">
        <x:v>56</x:v>
      </x:c>
      <x:c r="G14" s="3">
        <x:v>46307</x:v>
      </x:c>
      <x:c r="H14" s="3">
        <x:v>46313</x:v>
      </x:c>
      <x:c r="I14" s="2" t="s">
        <x:v>61</x:v>
      </x:c>
      <x:c r="J14" s="2" t="s">
        <x:v>66</x:v>
      </x:c>
      <x:c r="K14" s="4" t="s">
        <x:v>67</x:v>
      </x:c>
      <x:c r="L14" s="5" t="s">
        <x:v>19</x:v>
      </x:c>
    </x:row>
    <x:row r="15">
      <x:c r="A15" s="2" t="s">
        <x:v>68</x:v>
      </x:c>
      <x:c r="B15" s="2" t="s">
        <x:v>69</x:v>
      </x:c>
      <x:c r="C15" s="2" t="s">
        <x:v>22</x:v>
      </x:c>
      <x:c r="D15" s="2" t="str">
        <x:f>IFERROR(INDEX('Thành viên'!$B$2:$B$4,MATCH(C15,'Thành viên'!$A$2:$A$4,0))&amp;"","")</x:f>
      </x:c>
      <x:c r="E15" s="2" t="str">
        <x:f>IFERROR(INDEX('Thành viên'!$C$2:$C$4,MATCH(C15,'Thành viên'!$A$2:$A$4,0))&amp;"","")</x:f>
      </x:c>
      <x:c r="F15" s="2" t="s">
        <x:v>56</x:v>
      </x:c>
      <x:c r="G15" s="3">
        <x:v>46307</x:v>
      </x:c>
      <x:c r="H15" s="3">
        <x:v>46313</x:v>
      </x:c>
      <x:c r="I15" s="2" t="s">
        <x:v>43</x:v>
      </x:c>
      <x:c r="J15" s="2" t="s">
        <x:v>70</x:v>
      </x:c>
      <x:c r="K15" s="4" t="s">
        <x:v>71</x:v>
      </x:c>
      <x:c r="L15" s="5" t="s">
        <x:v>19</x:v>
      </x:c>
    </x:row>
    <x:row r="16">
      <x:c r="A16" s="2" t="s">
        <x:v>72</x:v>
      </x:c>
      <x:c r="B16" s="2" t="s">
        <x:v>73</x:v>
      </x:c>
      <x:c r="C16" s="2" t="s">
        <x:v>22</x:v>
      </x:c>
      <x:c r="D16" s="2" t="str">
        <x:f>IFERROR(INDEX('Thành viên'!$B$2:$B$4,MATCH(C16,'Thành viên'!$A$2:$A$4,0))&amp;"","")</x:f>
      </x:c>
      <x:c r="E16" s="2" t="str">
        <x:f>IFERROR(INDEX('Thành viên'!$C$2:$C$4,MATCH(C16,'Thành viên'!$A$2:$A$4,0))&amp;"","")</x:f>
      </x:c>
      <x:c r="F16" s="2" t="s">
        <x:v>56</x:v>
      </x:c>
      <x:c r="G16" s="3">
        <x:v>46307</x:v>
      </x:c>
      <x:c r="H16" s="3">
        <x:v>46313</x:v>
      </x:c>
      <x:c r="I16" s="2" t="s">
        <x:v>43</x:v>
      </x:c>
      <x:c r="J16" s="2" t="s">
        <x:v>74</x:v>
      </x:c>
      <x:c r="K16" s="4" t="s">
        <x:v>75</x:v>
      </x:c>
      <x:c r="L16" s="5" t="s">
        <x:v>19</x:v>
      </x:c>
    </x:row>
    <x:row r="17" ht="26.399999618530273">
      <x:c r="A17" s="2" t="s">
        <x:v>76</x:v>
      </x:c>
      <x:c r="B17" s="2" t="s">
        <x:v>77</x:v>
      </x:c>
      <x:c r="C17" s="2" t="s">
        <x:v>78</x:v>
      </x:c>
      <x:c r="D17" s="2" t="str">
        <x:f>IFERROR(INDEX('Thành viên'!$B$2:$B$4,MATCH(C17,'Thành viên'!$A$2:$A$4,0))&amp;"","")</x:f>
      </x:c>
      <x:c r="E17" s="2" t="str">
        <x:f>IFERROR(INDEX('Thành viên'!$C$2:$C$4,MATCH(C17,'Thành viên'!$A$2:$A$4,0))&amp;"","")</x:f>
      </x:c>
      <x:c r="F17" s="2" t="s">
        <x:v>15</x:v>
      </x:c>
      <x:c r="G17" s="3">
        <x:v>46293</x:v>
      </x:c>
      <x:c r="H17" s="3">
        <x:v>46299</x:v>
      </x:c>
      <x:c r="I17" s="2" t="s">
        <x:v>43</x:v>
      </x:c>
      <x:c r="J17" s="2" t="s">
        <x:v>79</x:v>
      </x:c>
      <x:c r="K17" s="4" t="s">
        <x:v>80</x:v>
      </x:c>
      <x:c r="L17" s="5" t="s">
        <x:v>19</x:v>
      </x:c>
    </x:row>
    <x:row r="18" ht="26.399999618530273">
      <x:c r="A18" s="2" t="s">
        <x:v>81</x:v>
      </x:c>
      <x:c r="B18" s="2" t="s">
        <x:v>82</x:v>
      </x:c>
      <x:c r="C18" s="2" t="s">
        <x:v>78</x:v>
      </x:c>
      <x:c r="D18" s="2" t="str">
        <x:f>IFERROR(INDEX('Thành viên'!$B$2:$B$4,MATCH(C18,'Thành viên'!$A$2:$A$4,0))&amp;"","")</x:f>
      </x:c>
      <x:c r="E18" s="2" t="str">
        <x:f>IFERROR(INDEX('Thành viên'!$C$2:$C$4,MATCH(C18,'Thành viên'!$A$2:$A$4,0))&amp;"","")</x:f>
      </x:c>
      <x:c r="F18" s="2" t="s">
        <x:v>15</x:v>
      </x:c>
      <x:c r="G18" s="3">
        <x:v>46293</x:v>
      </x:c>
      <x:c r="H18" s="3">
        <x:v>46299</x:v>
      </x:c>
      <x:c r="I18" s="2" t="s">
        <x:v>43</x:v>
      </x:c>
      <x:c r="J18" s="2" t="s">
        <x:v>83</x:v>
      </x:c>
      <x:c r="K18" s="4" t="s">
        <x:v>84</x:v>
      </x:c>
      <x:c r="L18" s="5" t="s">
        <x:v>19</x:v>
      </x:c>
    </x:row>
    <x:row r="19">
      <x:c r="A19" s="2" t="s">
        <x:v>85</x:v>
      </x:c>
      <x:c r="B19" s="2" t="s">
        <x:v>86</x:v>
      </x:c>
      <x:c r="C19" s="2" t="s">
        <x:v>78</x:v>
      </x:c>
      <x:c r="D19" s="2" t="str">
        <x:f>IFERROR(INDEX('Thành viên'!$B$2:$B$4,MATCH(C19,'Thành viên'!$A$2:$A$4,0))&amp;"","")</x:f>
      </x:c>
      <x:c r="E19" s="2" t="str">
        <x:f>IFERROR(INDEX('Thành viên'!$C$2:$C$4,MATCH(C19,'Thành viên'!$A$2:$A$4,0))&amp;"","")</x:f>
      </x:c>
      <x:c r="F19" s="2" t="s">
        <x:v>42</x:v>
      </x:c>
      <x:c r="G19" s="3">
        <x:v>46300</x:v>
      </x:c>
      <x:c r="H19" s="3">
        <x:v>46306</x:v>
      </x:c>
      <x:c r="I19" s="2" t="s">
        <x:v>43</x:v>
      </x:c>
      <x:c r="J19" s="2" t="s">
        <x:v>87</x:v>
      </x:c>
      <x:c r="K19" s="4" t="s">
        <x:v>88</x:v>
      </x:c>
      <x:c r="L19" s="5" t="s">
        <x:v>19</x:v>
      </x:c>
    </x:row>
    <x:row r="20">
      <x:c r="A20" s="2" t="s">
        <x:v>89</x:v>
      </x:c>
      <x:c r="B20" s="2" t="s">
        <x:v>90</x:v>
      </x:c>
      <x:c r="C20" s="2" t="s">
        <x:v>78</x:v>
      </x:c>
      <x:c r="D20" s="2" t="str">
        <x:f>IFERROR(INDEX('Thành viên'!$B$2:$B$4,MATCH(C20,'Thành viên'!$A$2:$A$4,0))&amp;"","")</x:f>
      </x:c>
      <x:c r="E20" s="2" t="str">
        <x:f>IFERROR(INDEX('Thành viên'!$C$2:$C$4,MATCH(C20,'Thành viên'!$A$2:$A$4,0))&amp;"","")</x:f>
      </x:c>
      <x:c r="F20" s="2" t="s">
        <x:v>42</x:v>
      </x:c>
      <x:c r="G20" s="3">
        <x:v>46300</x:v>
      </x:c>
      <x:c r="H20" s="3">
        <x:v>46306</x:v>
      </x:c>
      <x:c r="I20" s="2" t="s">
        <x:v>16</x:v>
      </x:c>
      <x:c r="J20" s="2" t="s">
        <x:v>91</x:v>
      </x:c>
      <x:c r="K20" s="4" t="s">
        <x:v>92</x:v>
      </x:c>
      <x:c r="L20" s="5" t="s">
        <x:v>19</x:v>
      </x:c>
    </x:row>
    <x:row r="21" ht="26.399999618530273">
      <x:c r="A21" s="2" t="s">
        <x:v>93</x:v>
      </x:c>
      <x:c r="B21" s="2" t="s">
        <x:v>94</x:v>
      </x:c>
      <x:c r="C21" s="2" t="s">
        <x:v>78</x:v>
      </x:c>
      <x:c r="D21" s="2" t="str">
        <x:f>IFERROR(INDEX('Thành viên'!$B$2:$B$4,MATCH(C21,'Thành viên'!$A$2:$A$4,0))&amp;"","")</x:f>
      </x:c>
      <x:c r="E21" s="2" t="str">
        <x:f>IFERROR(INDEX('Thành viên'!$C$2:$C$4,MATCH(C21,'Thành viên'!$A$2:$A$4,0))&amp;"","")</x:f>
      </x:c>
      <x:c r="F21" s="2" t="s">
        <x:v>42</x:v>
      </x:c>
      <x:c r="G21" s="3">
        <x:v>46300</x:v>
      </x:c>
      <x:c r="H21" s="3">
        <x:v>46306</x:v>
      </x:c>
      <x:c r="I21" s="2" t="s">
        <x:v>43</x:v>
      </x:c>
      <x:c r="J21" s="2" t="s">
        <x:v>95</x:v>
      </x:c>
      <x:c r="K21" s="4" t="s">
        <x:v>96</x:v>
      </x:c>
      <x:c r="L21" s="5" t="s">
        <x:v>19</x:v>
      </x:c>
    </x:row>
    <x:row r="22" ht="26.399999618530273">
      <x:c r="A22" s="2" t="s">
        <x:v>97</x:v>
      </x:c>
      <x:c r="B22" s="2" t="s">
        <x:v>98</x:v>
      </x:c>
      <x:c r="C22" s="2" t="s">
        <x:v>78</x:v>
      </x:c>
      <x:c r="D22" s="2" t="str">
        <x:f>IFERROR(INDEX('Thành viên'!$B$2:$B$4,MATCH(C22,'Thành viên'!$A$2:$A$4,0))&amp;"","")</x:f>
      </x:c>
      <x:c r="E22" s="2" t="str">
        <x:f>IFERROR(INDEX('Thành viên'!$C$2:$C$4,MATCH(C22,'Thành viên'!$A$2:$A$4,0))&amp;"","")</x:f>
      </x:c>
      <x:c r="F22" s="2" t="s">
        <x:v>56</x:v>
      </x:c>
      <x:c r="G22" s="3">
        <x:v>46307</x:v>
      </x:c>
      <x:c r="H22" s="3">
        <x:v>46313</x:v>
      </x:c>
      <x:c r="I22" s="2" t="s">
        <x:v>43</x:v>
      </x:c>
      <x:c r="J22" s="2" t="s">
        <x:v>99</x:v>
      </x:c>
      <x:c r="K22" s="4" t="s">
        <x:v>100</x:v>
      </x:c>
      <x:c r="L22" s="5" t="s">
        <x:v>19</x:v>
      </x:c>
    </x:row>
    <x:row r="23">
      <x:c r="A23" s="2" t="s">
        <x:v>101</x:v>
      </x:c>
      <x:c r="B23" s="2" t="s">
        <x:v>102</x:v>
      </x:c>
      <x:c r="C23" s="2" t="s">
        <x:v>78</x:v>
      </x:c>
      <x:c r="D23" s="2" t="str">
        <x:f>IFERROR(INDEX('Thành viên'!$B$2:$B$4,MATCH(C23,'Thành viên'!$A$2:$A$4,0))&amp;"","")</x:f>
      </x:c>
      <x:c r="E23" s="2" t="str">
        <x:f>IFERROR(INDEX('Thành viên'!$C$2:$C$4,MATCH(C23,'Thành viên'!$A$2:$A$4,0))&amp;"","")</x:f>
      </x:c>
      <x:c r="F23" s="2" t="s">
        <x:v>56</x:v>
      </x:c>
      <x:c r="G23" s="3">
        <x:v>46307</x:v>
      </x:c>
      <x:c r="H23" s="3">
        <x:v>46313</x:v>
      </x:c>
      <x:c r="I23" s="2" t="s">
        <x:v>16</x:v>
      </x:c>
      <x:c r="J23" s="2" t="s">
        <x:v>103</x:v>
      </x:c>
      <x:c r="K23" s="4" t="s">
        <x:v>104</x:v>
      </x:c>
      <x:c r="L23" s="5" t="s">
        <x:v>19</x:v>
      </x:c>
    </x:row>
    <x:row r="24">
      <x:c r="A24" s="2" t="s">
        <x:v>105</x:v>
      </x:c>
      <x:c r="B24" s="2" t="s">
        <x:v>106</x:v>
      </x:c>
      <x:c r="C24" s="2" t="s">
        <x:v>78</x:v>
      </x:c>
      <x:c r="D24" s="2" t="str">
        <x:f>IFERROR(INDEX('Thành viên'!$B$2:$B$4,MATCH(C24,'Thành viên'!$A$2:$A$4,0))&amp;"","")</x:f>
      </x:c>
      <x:c r="E24" s="2" t="str">
        <x:f>IFERROR(INDEX('Thành viên'!$C$2:$C$4,MATCH(C24,'Thành viên'!$A$2:$A$4,0))&amp;"","")</x:f>
      </x:c>
      <x:c r="F24" s="2" t="s">
        <x:v>56</x:v>
      </x:c>
      <x:c r="G24" s="3">
        <x:v>46307</x:v>
      </x:c>
      <x:c r="H24" s="3">
        <x:v>46313</x:v>
      </x:c>
      <x:c r="I24" s="2" t="s">
        <x:v>43</x:v>
      </x:c>
      <x:c r="J24" s="2" t="s">
        <x:v>107</x:v>
      </x:c>
      <x:c r="K24" s="4" t="s">
        <x:v>108</x:v>
      </x:c>
      <x:c r="L24" s="5" t="s">
        <x:v>19</x:v>
      </x:c>
    </x:row>
    <x:row r="25" ht="26.399999618530273">
      <x:c r="A25" s="2" t="s">
        <x:v>109</x:v>
      </x:c>
      <x:c r="B25" s="2" t="s">
        <x:v>110</x:v>
      </x:c>
      <x:c r="C25" s="2" t="s">
        <x:v>78</x:v>
      </x:c>
      <x:c r="D25" s="2" t="str">
        <x:f>IFERROR(INDEX('Thành viên'!$B$2:$B$4,MATCH(C25,'Thành viên'!$A$2:$A$4,0))&amp;"","")</x:f>
      </x:c>
      <x:c r="E25" s="2" t="str">
        <x:f>IFERROR(INDEX('Thành viên'!$C$2:$C$4,MATCH(C25,'Thành viên'!$A$2:$A$4,0))&amp;"","")</x:f>
      </x:c>
      <x:c r="F25" s="2" t="s">
        <x:v>56</x:v>
      </x:c>
      <x:c r="G25" s="3">
        <x:v>46307</x:v>
      </x:c>
      <x:c r="H25" s="3">
        <x:v>46313</x:v>
      </x:c>
      <x:c r="I25" s="2" t="s">
        <x:v>43</x:v>
      </x:c>
      <x:c r="J25" s="2" t="s">
        <x:v>111</x:v>
      </x:c>
      <x:c r="K25" s="4" t="s">
        <x:v>112</x:v>
      </x:c>
      <x:c r="L25" s="5" t="s">
        <x:v>19</x:v>
      </x:c>
    </x:row>
    <x:row r="26">
      <x:c r="A26" s="2" t="s">
        <x:v>113</x:v>
      </x:c>
      <x:c r="B26" s="2" t="s">
        <x:v>114</x:v>
      </x:c>
      <x:c r="C26" s="2" t="s">
        <x:v>14</x:v>
      </x:c>
      <x:c r="D26" s="2" t="str">
        <x:f>IFERROR(INDEX('Thành viên'!$B$2:$B$4,MATCH(C26,'Thành viên'!$A$2:$A$4,0))&amp;"","")</x:f>
        <x:v>Cả 2 FE</x:v>
      </x:c>
      <x:c r="E26" s="2" t="str">
        <x:f>IFERROR(INDEX('Thành viên'!$C$2:$C$4,MATCH(C26,'Thành viên'!$A$2:$A$4,0))&amp;"","")</x:f>
        <x:v>Cả 2 BE</x:v>
      </x:c>
      <x:c r="F26" s="2" t="s">
        <x:v>56</x:v>
      </x:c>
      <x:c r="G26" s="3">
        <x:v>46307</x:v>
      </x:c>
      <x:c r="H26" s="3">
        <x:v>46313</x:v>
      </x:c>
      <x:c r="I26" s="2" t="s">
        <x:v>43</x:v>
      </x:c>
      <x:c r="J26" s="2" t="s">
        <x:v>115</x:v>
      </x:c>
      <x:c r="K26" s="4" t="s">
        <x:v>116</x:v>
      </x:c>
      <x:c r="L26" s="5" t="s">
        <x:v>19</x:v>
      </x:c>
    </x:row>
    <x:row r="27" ht="30" customHeight="1">
      <x:c r="A27" s="12" t="str">
        <x:v>F4-01</x:v>
      </x:c>
      <x:c r="B27" s="13" t="str">
        <x:v>Danh mục vật tư và ca trực</x:v>
      </x:c>
      <x:c r="C27" s="12" t="str">
        <x:v>Cặp 1</x:v>
      </x:c>
      <x:c r="D27" s="12" t="str">
        <x:f>IFERROR(INDEX('Thành viên'!$B$2:$B$4,MATCH(C27,'Thành viên'!$A$2:$A$4,0))&amp;"","")</x:f>
      </x:c>
      <x:c r="E27" s="12" t="str">
        <x:f>IFERROR(INDEX('Thành viên'!$C$2:$C$4,MATCH(C27,'Thành viên'!$A$2:$A$4,0))&amp;"","")</x:f>
      </x:c>
      <x:c r="F27" s="12" t="str">
        <x:v>Backlog 4–6</x:v>
      </x:c>
      <x:c r="G27" s="12"/>
      <x:c r="H27" s="12"/>
      <x:c r="I27" s="12" t="str">
        <x:v>P1 High</x:v>
      </x:c>
      <x:c r="J27" s="13" t="str">
        <x:v>FR-4.19, FR-4.20</x:v>
      </x:c>
      <x:c r="K27" s="12"/>
      <x:c r="L27" s="14" t="str">
        <x:v>Todo</x:v>
      </x:c>
    </x:row>
    <x:row r="28" ht="30" customHeight="1">
      <x:c r="A28" s="12" t="str">
        <x:v>F4-02</x:v>
      </x:c>
      <x:c r="B28" s="13" t="str">
        <x:v>Phân ca theo ngày × ca × khu</x:v>
      </x:c>
      <x:c r="C28" s="12" t="str">
        <x:v>Cặp 1</x:v>
      </x:c>
      <x:c r="D28" s="12" t="str">
        <x:f>IFERROR(INDEX('Thành viên'!$B$2:$B$4,MATCH(C28,'Thành viên'!$A$2:$A$4,0))&amp;"","")</x:f>
      </x:c>
      <x:c r="E28" s="12" t="str">
        <x:f>IFERROR(INDEX('Thành viên'!$C$2:$C$4,MATCH(C28,'Thành viên'!$A$2:$A$4,0))&amp;"","")</x:f>
      </x:c>
      <x:c r="F28" s="12" t="str">
        <x:v>Backlog 4–6</x:v>
      </x:c>
      <x:c r="G28" s="12"/>
      <x:c r="H28" s="12"/>
      <x:c r="I28" s="12" t="str">
        <x:v>P1 High</x:v>
      </x:c>
      <x:c r="J28" s="13" t="str">
        <x:v>FR-4.01, FR-4.02, FR-4.03, FR-4.04</x:v>
      </x:c>
      <x:c r="K28" s="12"/>
      <x:c r="L28" s="14" t="str">
        <x:v>Todo</x:v>
      </x:c>
    </x:row>
    <x:row r="29" ht="30" customHeight="1">
      <x:c r="A29" s="12" t="str">
        <x:v>F4-03</x:v>
      </x:c>
      <x:c r="B29" s="13" t="str">
        <x:v>Vòng đời khẩu phần</x:v>
      </x:c>
      <x:c r="C29" s="12" t="str">
        <x:v>Cặp 2</x:v>
      </x:c>
      <x:c r="D29" s="12" t="str">
        <x:f>IFERROR(INDEX('Thành viên'!$B$2:$B$4,MATCH(C29,'Thành viên'!$A$2:$A$4,0))&amp;"","")</x:f>
      </x:c>
      <x:c r="E29" s="12" t="str">
        <x:f>IFERROR(INDEX('Thành viên'!$C$2:$C$4,MATCH(C29,'Thành viên'!$A$2:$A$4,0))&amp;"","")</x:f>
      </x:c>
      <x:c r="F29" s="12" t="str">
        <x:v>Backlog 4–6</x:v>
      </x:c>
      <x:c r="G29" s="12"/>
      <x:c r="H29" s="12"/>
      <x:c r="I29" s="12" t="str">
        <x:v>P1 High</x:v>
      </x:c>
      <x:c r="J29" s="13" t="str">
        <x:v>FR-4.05, FR-4.06, FR-4.07, FR-4.08, FR-4.21</x:v>
      </x:c>
      <x:c r="K29" s="12"/>
      <x:c r="L29" s="14" t="str">
        <x:v>Todo</x:v>
      </x:c>
    </x:row>
    <x:row r="30" ht="30" customHeight="1">
      <x:c r="A30" s="12" t="str">
        <x:v>F4-04</x:v>
      </x:c>
      <x:c r="B30" s="13" t="str">
        <x:v>Sinh checklist chăm sóc hằng ngày</x:v>
      </x:c>
      <x:c r="C30" s="12" t="str">
        <x:v>Cặp 2</x:v>
      </x:c>
      <x:c r="D30" s="12" t="str">
        <x:f>IFERROR(INDEX('Thành viên'!$B$2:$B$4,MATCH(C30,'Thành viên'!$A$2:$A$4,0))&amp;"","")</x:f>
      </x:c>
      <x:c r="E30" s="12" t="str">
        <x:f>IFERROR(INDEX('Thành viên'!$C$2:$C$4,MATCH(C30,'Thành viên'!$A$2:$A$4,0))&amp;"","")</x:f>
      </x:c>
      <x:c r="F30" s="12" t="str">
        <x:v>Backlog 4–6</x:v>
      </x:c>
      <x:c r="G30" s="12"/>
      <x:c r="H30" s="12"/>
      <x:c r="I30" s="12" t="str">
        <x:v>P0 Critical</x:v>
      </x:c>
      <x:c r="J30" s="13" t="str">
        <x:v>FR-4.09</x:v>
      </x:c>
      <x:c r="K30" s="12"/>
      <x:c r="L30" s="14" t="str">
        <x:v>Todo</x:v>
      </x:c>
    </x:row>
    <x:row r="31" ht="30" customHeight="1">
      <x:c r="A31" s="12" t="str">
        <x:v>F4-05</x:v>
      </x:c>
      <x:c r="B31" s="13" t="str">
        <x:v>Thực hiện và giám sát công việc</x:v>
      </x:c>
      <x:c r="C31" s="12" t="str">
        <x:v>Cặp 1</x:v>
      </x:c>
      <x:c r="D31" s="12" t="str">
        <x:f>IFERROR(INDEX('Thành viên'!$B$2:$B$4,MATCH(C31,'Thành viên'!$A$2:$A$4,0))&amp;"","")</x:f>
      </x:c>
      <x:c r="E31" s="12" t="str">
        <x:f>IFERROR(INDEX('Thành viên'!$C$2:$C$4,MATCH(C31,'Thành viên'!$A$2:$A$4,0))&amp;"","")</x:f>
      </x:c>
      <x:c r="F31" s="12" t="str">
        <x:v>Backlog 4–6</x:v>
      </x:c>
      <x:c r="G31" s="12"/>
      <x:c r="H31" s="12"/>
      <x:c r="I31" s="12" t="str">
        <x:v>P1 High</x:v>
      </x:c>
      <x:c r="J31" s="13" t="str">
        <x:v>FR-4.10, FR-4.11, FR-4.12, FR-4.13, FR-4.14</x:v>
      </x:c>
      <x:c r="K31" s="12"/>
      <x:c r="L31" s="14" t="str">
        <x:v>Todo</x:v>
      </x:c>
    </x:row>
    <x:row r="32" ht="30" customHeight="1">
      <x:c r="A32" s="12" t="str">
        <x:v>F4-06</x:v>
      </x:c>
      <x:c r="B32" s="13" t="str">
        <x:v>Tồn kho và đề xuất bổ sung</x:v>
      </x:c>
      <x:c r="C32" s="12" t="str">
        <x:v>Cặp 1</x:v>
      </x:c>
      <x:c r="D32" s="12" t="str">
        <x:f>IFERROR(INDEX('Thành viên'!$B$2:$B$4,MATCH(C32,'Thành viên'!$A$2:$A$4,0))&amp;"","")</x:f>
      </x:c>
      <x:c r="E32" s="12" t="str">
        <x:f>IFERROR(INDEX('Thành viên'!$C$2:$C$4,MATCH(C32,'Thành viên'!$A$2:$A$4,0))&amp;"","")</x:f>
      </x:c>
      <x:c r="F32" s="12" t="str">
        <x:v>Backlog 4–6</x:v>
      </x:c>
      <x:c r="G32" s="12"/>
      <x:c r="H32" s="12"/>
      <x:c r="I32" s="12" t="str">
        <x:v>P1 High</x:v>
      </x:c>
      <x:c r="J32" s="13" t="str">
        <x:v>FR-4.15, FR-4.16, FR-4.17, FR-4.18</x:v>
      </x:c>
      <x:c r="K32" s="12"/>
      <x:c r="L32" s="14" t="str">
        <x:v>Todo</x:v>
      </x:c>
    </x:row>
    <x:row r="33" ht="30" customHeight="1">
      <x:c r="A33" s="12" t="str">
        <x:v>F5-01</x:v>
      </x:c>
      <x:c r="B33" s="13" t="str">
        <x:v>Danh mục và vòng đời giải đua</x:v>
      </x:c>
      <x:c r="C33" s="12" t="str">
        <x:v>Cặp 1</x:v>
      </x:c>
      <x:c r="D33" s="12" t="str">
        <x:f>IFERROR(INDEX('Thành viên'!$B$2:$B$4,MATCH(C33,'Thành viên'!$A$2:$A$4,0))&amp;"","")</x:f>
      </x:c>
      <x:c r="E33" s="12" t="str">
        <x:f>IFERROR(INDEX('Thành viên'!$C$2:$C$4,MATCH(C33,'Thành viên'!$A$2:$A$4,0))&amp;"","")</x:f>
      </x:c>
      <x:c r="F33" s="12" t="str">
        <x:v>Backlog 4–6</x:v>
      </x:c>
      <x:c r="G33" s="12"/>
      <x:c r="H33" s="12"/>
      <x:c r="I33" s="12" t="str">
        <x:v>P1 High</x:v>
      </x:c>
      <x:c r="J33" s="13" t="str">
        <x:v>FR-5.01, FR-5.02, FR-5.17</x:v>
      </x:c>
      <x:c r="K33" s="12"/>
      <x:c r="L33" s="14" t="str">
        <x:v>Todo</x:v>
      </x:c>
    </x:row>
    <x:row r="34" ht="30" customHeight="1">
      <x:c r="A34" s="12" t="str">
        <x:v>F5-02</x:v>
      </x:c>
      <x:c r="B34" s="13" t="str">
        <x:v>Eligibility và đăng ký thi đấu</x:v>
      </x:c>
      <x:c r="C34" s="12" t="str">
        <x:v>Cặp 2</x:v>
      </x:c>
      <x:c r="D34" s="12" t="str">
        <x:f>IFERROR(INDEX('Thành viên'!$B$2:$B$4,MATCH(C34,'Thành viên'!$A$2:$A$4,0))&amp;"","")</x:f>
      </x:c>
      <x:c r="E34" s="12" t="str">
        <x:f>IFERROR(INDEX('Thành viên'!$C$2:$C$4,MATCH(C34,'Thành viên'!$A$2:$A$4,0))&amp;"","")</x:f>
      </x:c>
      <x:c r="F34" s="12" t="str">
        <x:v>Backlog 4–6</x:v>
      </x:c>
      <x:c r="G34" s="12"/>
      <x:c r="H34" s="12"/>
      <x:c r="I34" s="12" t="str">
        <x:v>P0 Critical</x:v>
      </x:c>
      <x:c r="J34" s="13" t="str">
        <x:v>FR-5.03, FR-5.04, FR-5.05</x:v>
      </x:c>
      <x:c r="K34" s="12"/>
      <x:c r="L34" s="14" t="str">
        <x:v>Todo</x:v>
      </x:c>
    </x:row>
    <x:row r="35" ht="30" customHeight="1">
      <x:c r="A35" s="12" t="str">
        <x:v>F5-03</x:v>
      </x:c>
      <x:c r="B35" s="13" t="str">
        <x:v>Tạm treo/rút đăng ký và kết quả</x:v>
      </x:c>
      <x:c r="C35" s="12" t="str">
        <x:v>Cặp 2</x:v>
      </x:c>
      <x:c r="D35" s="12" t="str">
        <x:f>IFERROR(INDEX('Thành viên'!$B$2:$B$4,MATCH(C35,'Thành viên'!$A$2:$A$4,0))&amp;"","")</x:f>
      </x:c>
      <x:c r="E35" s="12" t="str">
        <x:f>IFERROR(INDEX('Thành viên'!$C$2:$C$4,MATCH(C35,'Thành viên'!$A$2:$A$4,0))&amp;"","")</x:f>
      </x:c>
      <x:c r="F35" s="12" t="str">
        <x:v>Backlog 4–6</x:v>
      </x:c>
      <x:c r="G35" s="12"/>
      <x:c r="H35" s="12"/>
      <x:c r="I35" s="12" t="str">
        <x:v>P0 Critical</x:v>
      </x:c>
      <x:c r="J35" s="13" t="str">
        <x:v>FR-5.06, FR-5.07, FR-5.08, FR-5.09</x:v>
      </x:c>
      <x:c r="K35" s="12"/>
      <x:c r="L35" s="14" t="str">
        <x:v>Todo</x:v>
      </x:c>
    </x:row>
    <x:row r="36" ht="30" customHeight="1">
      <x:c r="A36" s="12" t="str">
        <x:v>F5-04</x:v>
      </x:c>
      <x:c r="B36" s="13" t="str">
        <x:v>Sổ tài chính</x:v>
      </x:c>
      <x:c r="C36" s="12" t="str">
        <x:v>Cặp 1</x:v>
      </x:c>
      <x:c r="D36" s="12" t="str">
        <x:f>IFERROR(INDEX('Thành viên'!$B$2:$B$4,MATCH(C36,'Thành viên'!$A$2:$A$4,0))&amp;"","")</x:f>
      </x:c>
      <x:c r="E36" s="12" t="str">
        <x:f>IFERROR(INDEX('Thành viên'!$C$2:$C$4,MATCH(C36,'Thành viên'!$A$2:$A$4,0))&amp;"","")</x:f>
      </x:c>
      <x:c r="F36" s="12" t="str">
        <x:v>Backlog 4–6</x:v>
      </x:c>
      <x:c r="G36" s="12"/>
      <x:c r="H36" s="12"/>
      <x:c r="I36" s="12" t="str">
        <x:v>P1 High</x:v>
      </x:c>
      <x:c r="J36" s="13" t="str">
        <x:v>FR-5.12, FR-5.13, FR-5.14</x:v>
      </x:c>
      <x:c r="K36" s="12"/>
      <x:c r="L36" s="14" t="str">
        <x:v>Todo</x:v>
      </x:c>
    </x:row>
    <x:row r="37" ht="30" customHeight="1">
      <x:c r="A37" s="12" t="str">
        <x:v>F5-05</x:v>
      </x:c>
      <x:c r="B37" s="13" t="str">
        <x:v>Báo cáo và dashboard</x:v>
      </x:c>
      <x:c r="C37" s="12" t="str">
        <x:v>Cặp 1</x:v>
      </x:c>
      <x:c r="D37" s="12" t="str">
        <x:f>IFERROR(INDEX('Thành viên'!$B$2:$B$4,MATCH(C37,'Thành viên'!$A$2:$A$4,0))&amp;"","")</x:f>
      </x:c>
      <x:c r="E37" s="12" t="str">
        <x:f>IFERROR(INDEX('Thành viên'!$C$2:$C$4,MATCH(C37,'Thành viên'!$A$2:$A$4,0))&amp;"","")</x:f>
      </x:c>
      <x:c r="F37" s="12" t="str">
        <x:v>Backlog 4–6</x:v>
      </x:c>
      <x:c r="G37" s="12"/>
      <x:c r="H37" s="12"/>
      <x:c r="I37" s="12" t="str">
        <x:v>P1 High</x:v>
      </x:c>
      <x:c r="J37" s="13" t="str">
        <x:v>FR-5.10, FR-5.11, FR-5.15, FR-5.16</x:v>
      </x:c>
      <x:c r="K37" s="12"/>
      <x:c r="L37" s="14" t="str">
        <x:v>Todo</x:v>
      </x:c>
    </x:row>
    <x:row r="38" ht="30" customHeight="1">
      <x:c r="A38" s="12" t="str">
        <x:v>F6-00</x:v>
      </x:c>
      <x:c r="B38" s="13" t="str">
        <x:v>Chốt provider và chính sách dữ liệu</x:v>
      </x:c>
      <x:c r="C38" s="12" t="str">
        <x:v>Chung</x:v>
      </x:c>
      <x:c r="D38" s="12" t="str">
        <x:f>IFERROR(INDEX('Thành viên'!$B$2:$B$4,MATCH(C38,'Thành viên'!$A$2:$A$4,0))&amp;"","")</x:f>
        <x:v>Cả 2 FE</x:v>
      </x:c>
      <x:c r="E38" s="12" t="str">
        <x:f>IFERROR(INDEX('Thành viên'!$C$2:$C$4,MATCH(C38,'Thành viên'!$A$2:$A$4,0))&amp;"","")</x:f>
        <x:v>Cả 2 BE</x:v>
      </x:c>
      <x:c r="F38" s="12" t="str">
        <x:v>Backlog 4–6</x:v>
      </x:c>
      <x:c r="G38" s="12"/>
      <x:c r="H38" s="12"/>
      <x:c r="I38" s="12" t="str">
        <x:v>P0 Critical</x:v>
      </x:c>
      <x:c r="J38" s="13" t="str">
        <x:v>Decision kiến trúc Flow 6</x:v>
      </x:c>
      <x:c r="K38" s="12"/>
      <x:c r="L38" s="14" t="str">
        <x:v>Todo</x:v>
      </x:c>
    </x:row>
    <x:row r="39" ht="30" customHeight="1">
      <x:c r="A39" s="12" t="str">
        <x:v>F6-01</x:v>
      </x:c>
      <x:c r="B39" s="13" t="str">
        <x:v>Schema và lifecycle AIInsight</x:v>
      </x:c>
      <x:c r="C39" s="12" t="str">
        <x:v>Cặp 1</x:v>
      </x:c>
      <x:c r="D39" s="12" t="str">
        <x:f>IFERROR(INDEX('Thành viên'!$B$2:$B$4,MATCH(C39,'Thành viên'!$A$2:$A$4,0))&amp;"","")</x:f>
      </x:c>
      <x:c r="E39" s="12" t="str">
        <x:f>IFERROR(INDEX('Thành viên'!$C$2:$C$4,MATCH(C39,'Thành viên'!$A$2:$A$4,0))&amp;"","")</x:f>
      </x:c>
      <x:c r="F39" s="12" t="str">
        <x:v>Backlog 4–6</x:v>
      </x:c>
      <x:c r="G39" s="12"/>
      <x:c r="H39" s="12"/>
      <x:c r="I39" s="12" t="str">
        <x:v>P0 Critical</x:v>
      </x:c>
      <x:c r="J39" s="13" t="str">
        <x:v>Nền tảng cho FR-6.01 đến FR-6.17</x:v>
      </x:c>
      <x:c r="K39" s="12"/>
      <x:c r="L39" s="14" t="str">
        <x:v>Todo</x:v>
      </x:c>
    </x:row>
    <x:row r="40" ht="30" customHeight="1">
      <x:c r="A40" s="12" t="str">
        <x:v>F6-02</x:v>
      </x:c>
      <x:c r="B40" s="13" t="str">
        <x:v>Context Projection và Risk Engine</x:v>
      </x:c>
      <x:c r="C40" s="12" t="str">
        <x:v>Cặp 2</x:v>
      </x:c>
      <x:c r="D40" s="12" t="str">
        <x:f>IFERROR(INDEX('Thành viên'!$B$2:$B$4,MATCH(C40,'Thành viên'!$A$2:$A$4,0))&amp;"","")</x:f>
      </x:c>
      <x:c r="E40" s="12" t="str">
        <x:f>IFERROR(INDEX('Thành viên'!$C$2:$C$4,MATCH(C40,'Thành viên'!$A$2:$A$4,0))&amp;"","")</x:f>
      </x:c>
      <x:c r="F40" s="12" t="str">
        <x:v>Backlog 4–6</x:v>
      </x:c>
      <x:c r="G40" s="12"/>
      <x:c r="H40" s="12"/>
      <x:c r="I40" s="12" t="str">
        <x:v>P0 Critical</x:v>
      </x:c>
      <x:c r="J40" s="13" t="str">
        <x:v>Nền tảng dữ liệu/rule cho FR-6.01 đến FR-6.13</x:v>
      </x:c>
      <x:c r="K40" s="12"/>
      <x:c r="L40" s="14" t="str">
        <x:v>Todo</x:v>
      </x:c>
    </x:row>
    <x:row r="41" ht="30" customHeight="1">
      <x:c r="A41" s="12" t="str">
        <x:v>F6-03</x:v>
      </x:c>
      <x:c r="B41" s="13" t="str">
        <x:v>Gợi ý giáo án</x:v>
      </x:c>
      <x:c r="C41" s="12" t="str">
        <x:v>Cặp 2</x:v>
      </x:c>
      <x:c r="D41" s="12" t="str">
        <x:f>IFERROR(INDEX('Thành viên'!$B$2:$B$4,MATCH(C41,'Thành viên'!$A$2:$A$4,0))&amp;"","")</x:f>
      </x:c>
      <x:c r="E41" s="12" t="str">
        <x:f>IFERROR(INDEX('Thành viên'!$C$2:$C$4,MATCH(C41,'Thành viên'!$A$2:$A$4,0))&amp;"","")</x:f>
      </x:c>
      <x:c r="F41" s="12" t="str">
        <x:v>Backlog 4–6</x:v>
      </x:c>
      <x:c r="G41" s="12"/>
      <x:c r="H41" s="12"/>
      <x:c r="I41" s="12" t="str">
        <x:v>P1 High</x:v>
      </x:c>
      <x:c r="J41" s="13" t="str">
        <x:v>FR-6.01, FR-6.02, FR-6.03, FR-6.04, FR-6.14, FR-6.16</x:v>
      </x:c>
      <x:c r="K41" s="12"/>
      <x:c r="L41" s="14" t="str">
        <x:v>Todo</x:v>
      </x:c>
    </x:row>
    <x:row r="42" ht="30" customHeight="1">
      <x:c r="A42" s="12" t="str">
        <x:v>F6-04</x:v>
      </x:c>
      <x:c r="B42" s="13" t="str">
        <x:v>Cảnh báo nguy cơ chấn thương</x:v>
      </x:c>
      <x:c r="C42" s="12" t="str">
        <x:v>Cặp 2</x:v>
      </x:c>
      <x:c r="D42" s="12" t="str">
        <x:f>IFERROR(INDEX('Thành viên'!$B$2:$B$4,MATCH(C42,'Thành viên'!$A$2:$A$4,0))&amp;"","")</x:f>
      </x:c>
      <x:c r="E42" s="12" t="str">
        <x:f>IFERROR(INDEX('Thành viên'!$C$2:$C$4,MATCH(C42,'Thành viên'!$A$2:$A$4,0))&amp;"","")</x:f>
      </x:c>
      <x:c r="F42" s="12" t="str">
        <x:v>Backlog 4–6</x:v>
      </x:c>
      <x:c r="G42" s="12"/>
      <x:c r="H42" s="12"/>
      <x:c r="I42" s="12" t="str">
        <x:v>P0 Critical</x:v>
      </x:c>
      <x:c r="J42" s="13" t="str">
        <x:v>FR-6.05, FR-6.06, FR-6.07, FR-6.08</x:v>
      </x:c>
      <x:c r="K42" s="12"/>
      <x:c r="L42" s="14" t="str">
        <x:v>Todo</x:v>
      </x:c>
    </x:row>
    <x:row r="43" ht="30" customHeight="1">
      <x:c r="A43" s="12" t="str">
        <x:v>F6-05</x:v>
      </x:c>
      <x:c r="B43" s="13" t="str">
        <x:v>Trợ lý AI có nguồn</x:v>
      </x:c>
      <x:c r="C43" s="12" t="str">
        <x:v>Cặp 2</x:v>
      </x:c>
      <x:c r="D43" s="12" t="str">
        <x:f>IFERROR(INDEX('Thành viên'!$B$2:$B$4,MATCH(C43,'Thành viên'!$A$2:$A$4,0))&amp;"","")</x:f>
      </x:c>
      <x:c r="E43" s="12" t="str">
        <x:f>IFERROR(INDEX('Thành viên'!$C$2:$C$4,MATCH(C43,'Thành viên'!$A$2:$A$4,0))&amp;"","")</x:f>
      </x:c>
      <x:c r="F43" s="12" t="str">
        <x:v>Backlog 4–6</x:v>
      </x:c>
      <x:c r="G43" s="12"/>
      <x:c r="H43" s="12"/>
      <x:c r="I43" s="12" t="str">
        <x:v>P1 High</x:v>
      </x:c>
      <x:c r="J43" s="13" t="str">
        <x:v>FR-6.09, FR-6.10, FR-6.11, FR-6.14</x:v>
      </x:c>
      <x:c r="K43" s="12"/>
      <x:c r="L43" s="14" t="str">
        <x:v>Todo</x:v>
      </x:c>
    </x:row>
    <x:row r="44" ht="30" customHeight="1">
      <x:c r="A44" s="12" t="str">
        <x:v>F6-06</x:v>
      </x:c>
      <x:c r="B44" s="13" t="str">
        <x:v>Tóm tắt và báo cáo AI</x:v>
      </x:c>
      <x:c r="C44" s="12" t="str">
        <x:v>Cặp 1</x:v>
      </x:c>
      <x:c r="D44" s="12" t="str">
        <x:f>IFERROR(INDEX('Thành viên'!$B$2:$B$4,MATCH(C44,'Thành viên'!$A$2:$A$4,0))&amp;"","")</x:f>
      </x:c>
      <x:c r="E44" s="12" t="str">
        <x:f>IFERROR(INDEX('Thành viên'!$C$2:$C$4,MATCH(C44,'Thành viên'!$A$2:$A$4,0))&amp;"","")</x:f>
      </x:c>
      <x:c r="F44" s="12" t="str">
        <x:v>Backlog 4–6</x:v>
      </x:c>
      <x:c r="G44" s="12"/>
      <x:c r="H44" s="12"/>
      <x:c r="I44" s="12" t="str">
        <x:v>P1 High</x:v>
      </x:c>
      <x:c r="J44" s="13" t="str">
        <x:v>FR-6.12, FR-6.13, FR-6.17</x:v>
      </x:c>
      <x:c r="K44" s="12"/>
      <x:c r="L44" s="14" t="str">
        <x:v>Todo</x:v>
      </x:c>
    </x:row>
    <x:row r="45" ht="30" customHeight="1">
      <x:c r="A45" s="12" t="str">
        <x:v>F6-07</x:v>
      </x:c>
      <x:c r="B45" s="13" t="str">
        <x:v>Cấu hình, observability và kill switch</x:v>
      </x:c>
      <x:c r="C45" s="12" t="str">
        <x:v>Cặp 1</x:v>
      </x:c>
      <x:c r="D45" s="12" t="str">
        <x:f>IFERROR(INDEX('Thành viên'!$B$2:$B$4,MATCH(C45,'Thành viên'!$A$2:$A$4,0))&amp;"","")</x:f>
      </x:c>
      <x:c r="E45" s="12" t="str">
        <x:f>IFERROR(INDEX('Thành viên'!$C$2:$C$4,MATCH(C45,'Thành viên'!$A$2:$A$4,0))&amp;"","")</x:f>
      </x:c>
      <x:c r="F45" s="12" t="str">
        <x:v>Backlog 4–6</x:v>
      </x:c>
      <x:c r="G45" s="12"/>
      <x:c r="H45" s="12"/>
      <x:c r="I45" s="12" t="str">
        <x:v>P0 Critical</x:v>
      </x:c>
      <x:c r="J45" s="13" t="str">
        <x:v>FR-6.15 và yêu cầu vận hành AI</x:v>
      </x:c>
      <x:c r="K45" s="12"/>
      <x:c r="L45" s="14" t="str">
        <x:v>Todo</x:v>
      </x:c>
    </x:row>
  </x:sheetData>
  <x:dataValidations count="2">
    <x:dataValidation type="list" sqref="L2:L26">
      <x:formula1>"Todo,In Progress,Done"</x:formula1>
    </x:dataValidation>
    <x:dataValidation type="list" sqref="L27:L45">
      <x:formula1>"Todo,In Progress,Review,Done"</x:formula1>
    </x:dataValidation>
  </x:dataValidations>
  <x:hyperlinks>
    <x:hyperlink xmlns:r="http://schemas.openxmlformats.org/officeDocument/2006/relationships" ref="K2" r:id="Rf213f81d3c7b4683"/>
    <x:hyperlink xmlns:r="http://schemas.openxmlformats.org/officeDocument/2006/relationships" ref="K3" r:id="R2bf6d828dfc54e2e"/>
    <x:hyperlink xmlns:r="http://schemas.openxmlformats.org/officeDocument/2006/relationships" ref="K4" r:id="R6637184f47d44e80"/>
    <x:hyperlink xmlns:r="http://schemas.openxmlformats.org/officeDocument/2006/relationships" ref="K5" r:id="R65071e5681904f1d"/>
    <x:hyperlink xmlns:r="http://schemas.openxmlformats.org/officeDocument/2006/relationships" ref="K6" r:id="Reaaf072d76054916"/>
    <x:hyperlink xmlns:r="http://schemas.openxmlformats.org/officeDocument/2006/relationships" ref="K7" r:id="R480783f942ff4e54"/>
    <x:hyperlink xmlns:r="http://schemas.openxmlformats.org/officeDocument/2006/relationships" ref="K8" r:id="R017c4f81b6c144b3"/>
    <x:hyperlink xmlns:r="http://schemas.openxmlformats.org/officeDocument/2006/relationships" ref="K9" r:id="R6ab7593ddac24b84"/>
    <x:hyperlink xmlns:r="http://schemas.openxmlformats.org/officeDocument/2006/relationships" ref="K10" r:id="Rc4455d18ccd140ee"/>
    <x:hyperlink xmlns:r="http://schemas.openxmlformats.org/officeDocument/2006/relationships" ref="K11" r:id="Rb8e7535d3ac54946"/>
    <x:hyperlink xmlns:r="http://schemas.openxmlformats.org/officeDocument/2006/relationships" ref="K12" r:id="R0d4e271944c04c56"/>
    <x:hyperlink xmlns:r="http://schemas.openxmlformats.org/officeDocument/2006/relationships" ref="K13" r:id="R89a9cb29582048e3"/>
    <x:hyperlink xmlns:r="http://schemas.openxmlformats.org/officeDocument/2006/relationships" ref="K14" r:id="R1dbb7ab88b4f4666"/>
    <x:hyperlink xmlns:r="http://schemas.openxmlformats.org/officeDocument/2006/relationships" ref="K15" r:id="Rab3441964ad5496d"/>
    <x:hyperlink xmlns:r="http://schemas.openxmlformats.org/officeDocument/2006/relationships" ref="K16" r:id="R0cdc899356aa4119"/>
    <x:hyperlink xmlns:r="http://schemas.openxmlformats.org/officeDocument/2006/relationships" ref="K17" r:id="R0b0de9d1b29547ee"/>
    <x:hyperlink xmlns:r="http://schemas.openxmlformats.org/officeDocument/2006/relationships" ref="K18" r:id="Re59331479e1d4af2"/>
    <x:hyperlink xmlns:r="http://schemas.openxmlformats.org/officeDocument/2006/relationships" ref="K19" r:id="R89659989ece14774"/>
    <x:hyperlink xmlns:r="http://schemas.openxmlformats.org/officeDocument/2006/relationships" ref="K20" r:id="R3395cc0f1a554a23"/>
    <x:hyperlink xmlns:r="http://schemas.openxmlformats.org/officeDocument/2006/relationships" ref="K21" r:id="R278821ba1bcd475c"/>
    <x:hyperlink xmlns:r="http://schemas.openxmlformats.org/officeDocument/2006/relationships" ref="K22" r:id="R593f8b4e57c94906"/>
    <x:hyperlink xmlns:r="http://schemas.openxmlformats.org/officeDocument/2006/relationships" ref="K23" r:id="Rc6dac3d314114c12"/>
    <x:hyperlink xmlns:r="http://schemas.openxmlformats.org/officeDocument/2006/relationships" ref="K24" r:id="R129e812bdee043f3"/>
    <x:hyperlink xmlns:r="http://schemas.openxmlformats.org/officeDocument/2006/relationships" ref="K25" r:id="Raa285e1976534bb6"/>
    <x:hyperlink xmlns:r="http://schemas.openxmlformats.org/officeDocument/2006/relationships" ref="K26" r:id="R682c58adc0724d8e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.399999618530273"/>
  <x:cols>
    <x:col min="1" max="1" width="8" customWidth="1"/>
    <x:col min="2" max="2" width="30" customWidth="1"/>
    <x:col min="3" max="3" width="8" customWidth="1"/>
    <x:col min="5" max="5" width="10" customWidth="1"/>
    <x:col min="6" max="6" width="34" customWidth="1"/>
    <x:col min="7" max="7" width="6" customWidth="1"/>
    <x:col min="8" max="8" width="60" customWidth="1"/>
    <x:col min="9" max="9" width="16" customWidth="1"/>
    <x:col min="10" max="11" width="11" customWidth="1"/>
    <x:col min="12" max="12" width="12" customWidth="1"/>
    <x:col min="13" max="13" width="8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5</x:v>
      </x:c>
      <x:c r="E1" s="1" t="s">
        <x:v>117</x:v>
      </x:c>
      <x:c r="F1" s="1" t="s">
        <x:v>118</x:v>
      </x:c>
      <x:c r="G1" s="1" t="s">
        <x:v>119</x:v>
      </x:c>
      <x:c r="H1" s="1" t="s">
        <x:v>120</x:v>
      </x:c>
      <x:c r="I1" s="1" t="s">
        <x:v>121</x:v>
      </x:c>
      <x:c r="J1" s="1" t="s">
        <x:v>6</x:v>
      </x:c>
      <x:c r="K1" s="1" t="s">
        <x:v>7</x:v>
      </x:c>
      <x:c r="L1" s="1" t="s">
        <x:v>11</x:v>
      </x:c>
      <x:c r="M1" s="1" t="s">
        <x:v>10</x:v>
      </x:c>
    </x:row>
    <x:row r="2" ht="52.79999923706055">
      <x:c r="A2" s="2" t="s">
        <x:v>12</x:v>
      </x:c>
      <x:c r="B2" s="2" t="s">
        <x:v>13</x:v>
      </x:c>
      <x:c r="C2" s="2" t="s">
        <x:v>14</x:v>
      </x:c>
      <x:c r="D2" s="2" t="s">
        <x:v>15</x:v>
      </x:c>
      <x:c r="E2" s="2" t="s">
        <x:v>122</x:v>
      </x:c>
      <x:c r="F2" s="2" t="s">
        <x:v>123</x:v>
      </x:c>
      <x:c r="G2" s="2" t="s">
        <x:v>124</x:v>
      </x:c>
      <x:c r="H2" s="2" t="s">
        <x:v>125</x:v>
      </x:c>
      <x:c r="I2" s="2" t="str">
        <x:f>IFERROR(INDEX('Thành viên'!$B$2:$B$4,MATCH(C2,'Thành viên'!$A$2:$A$4,0))&amp;"","")</x:f>
        <x:v>Cả 2 FE</x:v>
      </x:c>
      <x:c r="J2" s="3">
        <x:v>46293</x:v>
      </x:c>
      <x:c r="K2" s="3">
        <x:v>46299</x:v>
      </x:c>
      <x:c r="L2" s="5" t="s">
        <x:v>19</x:v>
      </x:c>
      <x:c r="M2" s="4" t="s">
        <x:v>18</x:v>
      </x:c>
    </x:row>
    <x:row r="3" ht="26.399999618530273">
      <x:c r="A3" s="2" t="s">
        <x:v>20</x:v>
      </x:c>
      <x:c r="B3" s="2" t="s">
        <x:v>21</x:v>
      </x:c>
      <x:c r="C3" s="2" t="s">
        <x:v>22</x:v>
      </x:c>
      <x:c r="D3" s="2" t="s">
        <x:v>15</x:v>
      </x:c>
      <x:c r="E3" s="2" t="s">
        <x:v>126</x:v>
      </x:c>
      <x:c r="F3" s="2" t="s">
        <x:v>127</x:v>
      </x:c>
      <x:c r="G3" s="2" t="s">
        <x:v>124</x:v>
      </x:c>
      <x:c r="H3" s="2" t="s">
        <x:v>128</x:v>
      </x:c>
      <x:c r="I3" s="2" t="str">
        <x:f>IFERROR(INDEX('Thành viên'!$B$2:$B$4,MATCH(C3,'Thành viên'!$A$2:$A$4,0))&amp;"","")</x:f>
      </x:c>
      <x:c r="J3" s="3">
        <x:v>46293</x:v>
      </x:c>
      <x:c r="K3" s="3">
        <x:v>46294</x:v>
      </x:c>
      <x:c r="L3" s="5" t="s">
        <x:v>19</x:v>
      </x:c>
      <x:c r="M3" s="4" t="s">
        <x:v>24</x:v>
      </x:c>
    </x:row>
    <x:row r="4" ht="39.599998474121094">
      <x:c r="A4" s="2" t="s">
        <x:v>20</x:v>
      </x:c>
      <x:c r="B4" s="2" t="s">
        <x:v>21</x:v>
      </x:c>
      <x:c r="C4" s="2" t="s">
        <x:v>22</x:v>
      </x:c>
      <x:c r="D4" s="2" t="s">
        <x:v>15</x:v>
      </x:c>
      <x:c r="E4" s="2" t="s">
        <x:v>126</x:v>
      </x:c>
      <x:c r="F4" s="2" t="s">
        <x:v>127</x:v>
      </x:c>
      <x:c r="G4" s="2" t="s">
        <x:v>129</x:v>
      </x:c>
      <x:c r="H4" s="2" t="s">
        <x:v>130</x:v>
      </x:c>
      <x:c r="I4" s="2" t="str">
        <x:f>IFERROR(INDEX('Thành viên'!$C$2:$C$4,MATCH(C4,'Thành viên'!$A$2:$A$4,0))&amp;"","")</x:f>
      </x:c>
      <x:c r="J4" s="3">
        <x:v>46293</x:v>
      </x:c>
      <x:c r="K4" s="3">
        <x:v>46294</x:v>
      </x:c>
      <x:c r="L4" s="5" t="s">
        <x:v>19</x:v>
      </x:c>
      <x:c r="M4" s="4" t="s">
        <x:v>24</x:v>
      </x:c>
    </x:row>
    <x:row r="5" ht="26.399999618530273">
      <x:c r="A5" s="2" t="s">
        <x:v>20</x:v>
      </x:c>
      <x:c r="B5" s="2" t="s">
        <x:v>21</x:v>
      </x:c>
      <x:c r="C5" s="2" t="s">
        <x:v>22</x:v>
      </x:c>
      <x:c r="D5" s="2" t="s">
        <x:v>15</x:v>
      </x:c>
      <x:c r="E5" s="2" t="s">
        <x:v>131</x:v>
      </x:c>
      <x:c r="F5" s="2" t="s">
        <x:v>132</x:v>
      </x:c>
      <x:c r="G5" s="2" t="s">
        <x:v>124</x:v>
      </x:c>
      <x:c r="H5" s="2" t="s">
        <x:v>133</x:v>
      </x:c>
      <x:c r="I5" s="2" t="str">
        <x:f>IFERROR(INDEX('Thành viên'!$B$2:$B$4,MATCH(C5,'Thành viên'!$A$2:$A$4,0))&amp;"","")</x:f>
      </x:c>
      <x:c r="J5" s="3">
        <x:v>46293</x:v>
      </x:c>
      <x:c r="K5" s="3">
        <x:v>46294</x:v>
      </x:c>
      <x:c r="L5" s="5" t="s">
        <x:v>19</x:v>
      </x:c>
      <x:c r="M5" s="4" t="s">
        <x:v>24</x:v>
      </x:c>
    </x:row>
    <x:row r="6" ht="26.399999618530273">
      <x:c r="A6" s="2" t="s">
        <x:v>20</x:v>
      </x:c>
      <x:c r="B6" s="2" t="s">
        <x:v>21</x:v>
      </x:c>
      <x:c r="C6" s="2" t="s">
        <x:v>22</x:v>
      </x:c>
      <x:c r="D6" s="2" t="s">
        <x:v>15</x:v>
      </x:c>
      <x:c r="E6" s="2" t="s">
        <x:v>131</x:v>
      </x:c>
      <x:c r="F6" s="2" t="s">
        <x:v>132</x:v>
      </x:c>
      <x:c r="G6" s="2" t="s">
        <x:v>129</x:v>
      </x:c>
      <x:c r="H6" s="2" t="s">
        <x:v>134</x:v>
      </x:c>
      <x:c r="I6" s="2" t="str">
        <x:f>IFERROR(INDEX('Thành viên'!$C$2:$C$4,MATCH(C6,'Thành viên'!$A$2:$A$4,0))&amp;"","")</x:f>
      </x:c>
      <x:c r="J6" s="3">
        <x:v>46293</x:v>
      </x:c>
      <x:c r="K6" s="3">
        <x:v>46294</x:v>
      </x:c>
      <x:c r="L6" s="5" t="s">
        <x:v>19</x:v>
      </x:c>
      <x:c r="M6" s="4" t="s">
        <x:v>24</x:v>
      </x:c>
    </x:row>
    <x:row r="7" ht="26.399999618530273">
      <x:c r="A7" s="2" t="s">
        <x:v>20</x:v>
      </x:c>
      <x:c r="B7" s="2" t="s">
        <x:v>21</x:v>
      </x:c>
      <x:c r="C7" s="2" t="s">
        <x:v>22</x:v>
      </x:c>
      <x:c r="D7" s="2" t="s">
        <x:v>15</x:v>
      </x:c>
      <x:c r="E7" s="2" t="s">
        <x:v>135</x:v>
      </x:c>
      <x:c r="F7" s="2" t="s">
        <x:v>136</x:v>
      </x:c>
      <x:c r="G7" s="2" t="s">
        <x:v>124</x:v>
      </x:c>
      <x:c r="H7" s="2" t="s">
        <x:v>137</x:v>
      </x:c>
      <x:c r="I7" s="2" t="str">
        <x:f>IFERROR(INDEX('Thành viên'!$B$2:$B$4,MATCH(C7,'Thành viên'!$A$2:$A$4,0))&amp;"","")</x:f>
      </x:c>
      <x:c r="J7" s="3">
        <x:v>46293</x:v>
      </x:c>
      <x:c r="K7" s="3">
        <x:v>46294</x:v>
      </x:c>
      <x:c r="L7" s="5" t="s">
        <x:v>19</x:v>
      </x:c>
      <x:c r="M7" s="4" t="s">
        <x:v>24</x:v>
      </x:c>
    </x:row>
    <x:row r="8" ht="26.399999618530273">
      <x:c r="A8" s="2" t="s">
        <x:v>20</x:v>
      </x:c>
      <x:c r="B8" s="2" t="s">
        <x:v>21</x:v>
      </x:c>
      <x:c r="C8" s="2" t="s">
        <x:v>22</x:v>
      </x:c>
      <x:c r="D8" s="2" t="s">
        <x:v>15</x:v>
      </x:c>
      <x:c r="E8" s="2" t="s">
        <x:v>135</x:v>
      </x:c>
      <x:c r="F8" s="2" t="s">
        <x:v>136</x:v>
      </x:c>
      <x:c r="G8" s="2" t="s">
        <x:v>129</x:v>
      </x:c>
      <x:c r="H8" s="2" t="s">
        <x:v>138</x:v>
      </x:c>
      <x:c r="I8" s="2" t="str">
        <x:f>IFERROR(INDEX('Thành viên'!$C$2:$C$4,MATCH(C8,'Thành viên'!$A$2:$A$4,0))&amp;"","")</x:f>
      </x:c>
      <x:c r="J8" s="3">
        <x:v>46293</x:v>
      </x:c>
      <x:c r="K8" s="3">
        <x:v>46294</x:v>
      </x:c>
      <x:c r="L8" s="5" t="s">
        <x:v>19</x:v>
      </x:c>
      <x:c r="M8" s="4" t="s">
        <x:v>24</x:v>
      </x:c>
    </x:row>
    <x:row r="9" ht="39.599998474121094">
      <x:c r="A9" s="2" t="s">
        <x:v>20</x:v>
      </x:c>
      <x:c r="B9" s="2" t="s">
        <x:v>21</x:v>
      </x:c>
      <x:c r="C9" s="2" t="s">
        <x:v>22</x:v>
      </x:c>
      <x:c r="D9" s="2" t="s">
        <x:v>15</x:v>
      </x:c>
      <x:c r="E9" s="2" t="s">
        <x:v>139</x:v>
      </x:c>
      <x:c r="F9" s="2" t="s">
        <x:v>140</x:v>
      </x:c>
      <x:c r="G9" s="2" t="s">
        <x:v>124</x:v>
      </x:c>
      <x:c r="H9" s="2" t="s">
        <x:v>141</x:v>
      </x:c>
      <x:c r="I9" s="2" t="str">
        <x:f>IFERROR(INDEX('Thành viên'!$B$2:$B$4,MATCH(C9,'Thành viên'!$A$2:$A$4,0))&amp;"","")</x:f>
      </x:c>
      <x:c r="J9" s="3">
        <x:v>46293</x:v>
      </x:c>
      <x:c r="K9" s="3">
        <x:v>46294</x:v>
      </x:c>
      <x:c r="L9" s="5" t="s">
        <x:v>19</x:v>
      </x:c>
      <x:c r="M9" s="4" t="s">
        <x:v>24</x:v>
      </x:c>
    </x:row>
    <x:row r="10" ht="26.399999618530273">
      <x:c r="A10" s="2" t="s">
        <x:v>20</x:v>
      </x:c>
      <x:c r="B10" s="2" t="s">
        <x:v>21</x:v>
      </x:c>
      <x:c r="C10" s="2" t="s">
        <x:v>22</x:v>
      </x:c>
      <x:c r="D10" s="2" t="s">
        <x:v>15</x:v>
      </x:c>
      <x:c r="E10" s="2" t="s">
        <x:v>139</x:v>
      </x:c>
      <x:c r="F10" s="2" t="s">
        <x:v>140</x:v>
      </x:c>
      <x:c r="G10" s="2" t="s">
        <x:v>129</x:v>
      </x:c>
      <x:c r="H10" s="2" t="s">
        <x:v>142</x:v>
      </x:c>
      <x:c r="I10" s="2" t="str">
        <x:f>IFERROR(INDEX('Thành viên'!$C$2:$C$4,MATCH(C10,'Thành viên'!$A$2:$A$4,0))&amp;"","")</x:f>
      </x:c>
      <x:c r="J10" s="3">
        <x:v>46293</x:v>
      </x:c>
      <x:c r="K10" s="3">
        <x:v>46294</x:v>
      </x:c>
      <x:c r="L10" s="5" t="s">
        <x:v>19</x:v>
      </x:c>
      <x:c r="M10" s="4" t="s">
        <x:v>24</x:v>
      </x:c>
    </x:row>
    <x:row r="11" ht="26.399999618530273">
      <x:c r="A11" s="2" t="s">
        <x:v>25</x:v>
      </x:c>
      <x:c r="B11" s="2" t="s">
        <x:v>26</x:v>
      </x:c>
      <x:c r="C11" s="2" t="s">
        <x:v>22</x:v>
      </x:c>
      <x:c r="D11" s="2" t="s">
        <x:v>15</x:v>
      </x:c>
      <x:c r="E11" s="2" t="s">
        <x:v>143</x:v>
      </x:c>
      <x:c r="F11" s="2" t="s">
        <x:v>144</x:v>
      </x:c>
      <x:c r="G11" s="2" t="s">
        <x:v>124</x:v>
      </x:c>
      <x:c r="H11" s="2" t="s">
        <x:v>145</x:v>
      </x:c>
      <x:c r="I11" s="2" t="str">
        <x:f>IFERROR(INDEX('Thành viên'!$B$2:$B$4,MATCH(C11,'Thành viên'!$A$2:$A$4,0))&amp;"","")</x:f>
      </x:c>
      <x:c r="J11" s="3">
        <x:v>46294</x:v>
      </x:c>
      <x:c r="K11" s="3">
        <x:v>46295</x:v>
      </x:c>
      <x:c r="L11" s="5" t="s">
        <x:v>19</x:v>
      </x:c>
      <x:c r="M11" s="4" t="s">
        <x:v>27</x:v>
      </x:c>
    </x:row>
    <x:row r="12" ht="26.399999618530273">
      <x:c r="A12" s="2" t="s">
        <x:v>25</x:v>
      </x:c>
      <x:c r="B12" s="2" t="s">
        <x:v>26</x:v>
      </x:c>
      <x:c r="C12" s="2" t="s">
        <x:v>22</x:v>
      </x:c>
      <x:c r="D12" s="2" t="s">
        <x:v>15</x:v>
      </x:c>
      <x:c r="E12" s="2" t="s">
        <x:v>143</x:v>
      </x:c>
      <x:c r="F12" s="2" t="s">
        <x:v>144</x:v>
      </x:c>
      <x:c r="G12" s="2" t="s">
        <x:v>129</x:v>
      </x:c>
      <x:c r="H12" s="2" t="s">
        <x:v>146</x:v>
      </x:c>
      <x:c r="I12" s="2" t="str">
        <x:f>IFERROR(INDEX('Thành viên'!$C$2:$C$4,MATCH(C12,'Thành viên'!$A$2:$A$4,0))&amp;"","")</x:f>
      </x:c>
      <x:c r="J12" s="3">
        <x:v>46294</x:v>
      </x:c>
      <x:c r="K12" s="3">
        <x:v>46295</x:v>
      </x:c>
      <x:c r="L12" s="5" t="s">
        <x:v>19</x:v>
      </x:c>
      <x:c r="M12" s="4" t="s">
        <x:v>27</x:v>
      </x:c>
    </x:row>
    <x:row r="13" ht="39.599998474121094">
      <x:c r="A13" s="2" t="s">
        <x:v>25</x:v>
      </x:c>
      <x:c r="B13" s="2" t="s">
        <x:v>26</x:v>
      </x:c>
      <x:c r="C13" s="2" t="s">
        <x:v>22</x:v>
      </x:c>
      <x:c r="D13" s="2" t="s">
        <x:v>15</x:v>
      </x:c>
      <x:c r="E13" s="2" t="s">
        <x:v>147</x:v>
      </x:c>
      <x:c r="F13" s="2" t="s">
        <x:v>148</x:v>
      </x:c>
      <x:c r="G13" s="2" t="s">
        <x:v>124</x:v>
      </x:c>
      <x:c r="H13" s="2" t="s">
        <x:v>149</x:v>
      </x:c>
      <x:c r="I13" s="2" t="str">
        <x:f>IFERROR(INDEX('Thành viên'!$B$2:$B$4,MATCH(C13,'Thành viên'!$A$2:$A$4,0))&amp;"","")</x:f>
      </x:c>
      <x:c r="J13" s="3">
        <x:v>46294</x:v>
      </x:c>
      <x:c r="K13" s="3">
        <x:v>46295</x:v>
      </x:c>
      <x:c r="L13" s="5" t="s">
        <x:v>19</x:v>
      </x:c>
      <x:c r="M13" s="4" t="s">
        <x:v>27</x:v>
      </x:c>
    </x:row>
    <x:row r="14" ht="39.599998474121094">
      <x:c r="A14" s="2" t="s">
        <x:v>25</x:v>
      </x:c>
      <x:c r="B14" s="2" t="s">
        <x:v>26</x:v>
      </x:c>
      <x:c r="C14" s="2" t="s">
        <x:v>22</x:v>
      </x:c>
      <x:c r="D14" s="2" t="s">
        <x:v>15</x:v>
      </x:c>
      <x:c r="E14" s="2" t="s">
        <x:v>147</x:v>
      </x:c>
      <x:c r="F14" s="2" t="s">
        <x:v>148</x:v>
      </x:c>
      <x:c r="G14" s="2" t="s">
        <x:v>129</x:v>
      </x:c>
      <x:c r="H14" s="2" t="s">
        <x:v>150</x:v>
      </x:c>
      <x:c r="I14" s="2" t="str">
        <x:f>IFERROR(INDEX('Thành viên'!$C$2:$C$4,MATCH(C14,'Thành viên'!$A$2:$A$4,0))&amp;"","")</x:f>
      </x:c>
      <x:c r="J14" s="3">
        <x:v>46294</x:v>
      </x:c>
      <x:c r="K14" s="3">
        <x:v>46295</x:v>
      </x:c>
      <x:c r="L14" s="5" t="s">
        <x:v>19</x:v>
      </x:c>
      <x:c r="M14" s="4" t="s">
        <x:v>27</x:v>
      </x:c>
    </x:row>
    <x:row r="15">
      <x:c r="A15" s="2" t="s">
        <x:v>28</x:v>
      </x:c>
      <x:c r="B15" s="2" t="s">
        <x:v>29</x:v>
      </x:c>
      <x:c r="C15" s="2" t="s">
        <x:v>22</x:v>
      </x:c>
      <x:c r="D15" s="2" t="s">
        <x:v>15</x:v>
      </x:c>
      <x:c r="E15" s="2" t="s">
        <x:v>151</x:v>
      </x:c>
      <x:c r="F15" s="2" t="s">
        <x:v>152</x:v>
      </x:c>
      <x:c r="G15" s="2" t="s">
        <x:v>124</x:v>
      </x:c>
      <x:c r="H15" s="2" t="s">
        <x:v>153</x:v>
      </x:c>
      <x:c r="I15" s="2" t="str">
        <x:f>IFERROR(INDEX('Thành viên'!$B$2:$B$4,MATCH(C15,'Thành viên'!$A$2:$A$4,0))&amp;"","")</x:f>
      </x:c>
      <x:c r="J15" s="3">
        <x:v>46295</x:v>
      </x:c>
      <x:c r="K15" s="3">
        <x:v>46296</x:v>
      </x:c>
      <x:c r="L15" s="5" t="s">
        <x:v>19</x:v>
      </x:c>
      <x:c r="M15" s="4" t="s">
        <x:v>30</x:v>
      </x:c>
    </x:row>
    <x:row r="16" ht="26.399999618530273">
      <x:c r="A16" s="2" t="s">
        <x:v>28</x:v>
      </x:c>
      <x:c r="B16" s="2" t="s">
        <x:v>29</x:v>
      </x:c>
      <x:c r="C16" s="2" t="s">
        <x:v>22</x:v>
      </x:c>
      <x:c r="D16" s="2" t="s">
        <x:v>15</x:v>
      </x:c>
      <x:c r="E16" s="2" t="s">
        <x:v>151</x:v>
      </x:c>
      <x:c r="F16" s="2" t="s">
        <x:v>152</x:v>
      </x:c>
      <x:c r="G16" s="2" t="s">
        <x:v>129</x:v>
      </x:c>
      <x:c r="H16" s="2" t="s">
        <x:v>154</x:v>
      </x:c>
      <x:c r="I16" s="2" t="str">
        <x:f>IFERROR(INDEX('Thành viên'!$C$2:$C$4,MATCH(C16,'Thành viên'!$A$2:$A$4,0))&amp;"","")</x:f>
      </x:c>
      <x:c r="J16" s="3">
        <x:v>46295</x:v>
      </x:c>
      <x:c r="K16" s="3">
        <x:v>46296</x:v>
      </x:c>
      <x:c r="L16" s="5" t="s">
        <x:v>19</x:v>
      </x:c>
      <x:c r="M16" s="4" t="s">
        <x:v>30</x:v>
      </x:c>
    </x:row>
    <x:row r="17">
      <x:c r="A17" s="2" t="s">
        <x:v>28</x:v>
      </x:c>
      <x:c r="B17" s="2" t="s">
        <x:v>29</x:v>
      </x:c>
      <x:c r="C17" s="2" t="s">
        <x:v>22</x:v>
      </x:c>
      <x:c r="D17" s="2" t="s">
        <x:v>15</x:v>
      </x:c>
      <x:c r="E17" s="2" t="s">
        <x:v>155</x:v>
      </x:c>
      <x:c r="F17" s="2" t="s">
        <x:v>156</x:v>
      </x:c>
      <x:c r="G17" s="2" t="s">
        <x:v>124</x:v>
      </x:c>
      <x:c r="H17" s="2" t="s">
        <x:v>157</x:v>
      </x:c>
      <x:c r="I17" s="2" t="str">
        <x:f>IFERROR(INDEX('Thành viên'!$B$2:$B$4,MATCH(C17,'Thành viên'!$A$2:$A$4,0))&amp;"","")</x:f>
      </x:c>
      <x:c r="J17" s="3">
        <x:v>46295</x:v>
      </x:c>
      <x:c r="K17" s="3">
        <x:v>46296</x:v>
      </x:c>
      <x:c r="L17" s="5" t="s">
        <x:v>19</x:v>
      </x:c>
      <x:c r="M17" s="4" t="s">
        <x:v>30</x:v>
      </x:c>
    </x:row>
    <x:row r="18" ht="26.399999618530273">
      <x:c r="A18" s="2" t="s">
        <x:v>28</x:v>
      </x:c>
      <x:c r="B18" s="2" t="s">
        <x:v>29</x:v>
      </x:c>
      <x:c r="C18" s="2" t="s">
        <x:v>22</x:v>
      </x:c>
      <x:c r="D18" s="2" t="s">
        <x:v>15</x:v>
      </x:c>
      <x:c r="E18" s="2" t="s">
        <x:v>155</x:v>
      </x:c>
      <x:c r="F18" s="2" t="s">
        <x:v>156</x:v>
      </x:c>
      <x:c r="G18" s="2" t="s">
        <x:v>129</x:v>
      </x:c>
      <x:c r="H18" s="2" t="s">
        <x:v>158</x:v>
      </x:c>
      <x:c r="I18" s="2" t="str">
        <x:f>IFERROR(INDEX('Thành viên'!$C$2:$C$4,MATCH(C18,'Thành viên'!$A$2:$A$4,0))&amp;"","")</x:f>
      </x:c>
      <x:c r="J18" s="3">
        <x:v>46295</x:v>
      </x:c>
      <x:c r="K18" s="3">
        <x:v>46296</x:v>
      </x:c>
      <x:c r="L18" s="5" t="s">
        <x:v>19</x:v>
      </x:c>
      <x:c r="M18" s="4" t="s">
        <x:v>30</x:v>
      </x:c>
    </x:row>
    <x:row r="19" ht="26.399999618530273">
      <x:c r="A19" s="2" t="s">
        <x:v>31</x:v>
      </x:c>
      <x:c r="B19" s="2" t="s">
        <x:v>32</x:v>
      </x:c>
      <x:c r="C19" s="2" t="s">
        <x:v>22</x:v>
      </x:c>
      <x:c r="D19" s="2" t="s">
        <x:v>15</x:v>
      </x:c>
      <x:c r="E19" s="2" t="s">
        <x:v>159</x:v>
      </x:c>
      <x:c r="F19" s="2" t="s">
        <x:v>160</x:v>
      </x:c>
      <x:c r="G19" s="2" t="s">
        <x:v>124</x:v>
      </x:c>
      <x:c r="H19" s="2" t="s">
        <x:v>161</x:v>
      </x:c>
      <x:c r="I19" s="2" t="str">
        <x:f>IFERROR(INDEX('Thành viên'!$B$2:$B$4,MATCH(C19,'Thành viên'!$A$2:$A$4,0))&amp;"","")</x:f>
      </x:c>
      <x:c r="J19" s="3">
        <x:v>46296</x:v>
      </x:c>
      <x:c r="K19" s="3">
        <x:v>46297</x:v>
      </x:c>
      <x:c r="L19" s="5" t="s">
        <x:v>19</x:v>
      </x:c>
      <x:c r="M19" s="4" t="s">
        <x:v>33</x:v>
      </x:c>
    </x:row>
    <x:row r="20" ht="26.399999618530273">
      <x:c r="A20" s="2" t="s">
        <x:v>31</x:v>
      </x:c>
      <x:c r="B20" s="2" t="s">
        <x:v>32</x:v>
      </x:c>
      <x:c r="C20" s="2" t="s">
        <x:v>22</x:v>
      </x:c>
      <x:c r="D20" s="2" t="s">
        <x:v>15</x:v>
      </x:c>
      <x:c r="E20" s="2" t="s">
        <x:v>159</x:v>
      </x:c>
      <x:c r="F20" s="2" t="s">
        <x:v>160</x:v>
      </x:c>
      <x:c r="G20" s="2" t="s">
        <x:v>129</x:v>
      </x:c>
      <x:c r="H20" s="2" t="s">
        <x:v>162</x:v>
      </x:c>
      <x:c r="I20" s="2" t="str">
        <x:f>IFERROR(INDEX('Thành viên'!$C$2:$C$4,MATCH(C20,'Thành viên'!$A$2:$A$4,0))&amp;"","")</x:f>
      </x:c>
      <x:c r="J20" s="3">
        <x:v>46296</x:v>
      </x:c>
      <x:c r="K20" s="3">
        <x:v>46297</x:v>
      </x:c>
      <x:c r="L20" s="5" t="s">
        <x:v>19</x:v>
      </x:c>
      <x:c r="M20" s="4" t="s">
        <x:v>33</x:v>
      </x:c>
    </x:row>
    <x:row r="21" ht="26.399999618530273">
      <x:c r="A21" s="2" t="s">
        <x:v>31</x:v>
      </x:c>
      <x:c r="B21" s="2" t="s">
        <x:v>32</x:v>
      </x:c>
      <x:c r="C21" s="2" t="s">
        <x:v>22</x:v>
      </x:c>
      <x:c r="D21" s="2" t="s">
        <x:v>15</x:v>
      </x:c>
      <x:c r="E21" s="2" t="s">
        <x:v>163</x:v>
      </x:c>
      <x:c r="F21" s="2" t="s">
        <x:v>164</x:v>
      </x:c>
      <x:c r="G21" s="2" t="s">
        <x:v>124</x:v>
      </x:c>
      <x:c r="H21" s="2" t="s">
        <x:v>165</x:v>
      </x:c>
      <x:c r="I21" s="2" t="str">
        <x:f>IFERROR(INDEX('Thành viên'!$B$2:$B$4,MATCH(C21,'Thành viên'!$A$2:$A$4,0))&amp;"","")</x:f>
      </x:c>
      <x:c r="J21" s="3">
        <x:v>46296</x:v>
      </x:c>
      <x:c r="K21" s="3">
        <x:v>46297</x:v>
      </x:c>
      <x:c r="L21" s="5" t="s">
        <x:v>19</x:v>
      </x:c>
      <x:c r="M21" s="4" t="s">
        <x:v>33</x:v>
      </x:c>
    </x:row>
    <x:row r="22" ht="52.79999923706055">
      <x:c r="A22" s="2" t="s">
        <x:v>31</x:v>
      </x:c>
      <x:c r="B22" s="2" t="s">
        <x:v>32</x:v>
      </x:c>
      <x:c r="C22" s="2" t="s">
        <x:v>22</x:v>
      </x:c>
      <x:c r="D22" s="2" t="s">
        <x:v>15</x:v>
      </x:c>
      <x:c r="E22" s="2" t="s">
        <x:v>163</x:v>
      </x:c>
      <x:c r="F22" s="2" t="s">
        <x:v>164</x:v>
      </x:c>
      <x:c r="G22" s="2" t="s">
        <x:v>129</x:v>
      </x:c>
      <x:c r="H22" s="2" t="s">
        <x:v>166</x:v>
      </x:c>
      <x:c r="I22" s="2" t="str">
        <x:f>IFERROR(INDEX('Thành viên'!$C$2:$C$4,MATCH(C22,'Thành viên'!$A$2:$A$4,0))&amp;"","")</x:f>
      </x:c>
      <x:c r="J22" s="3">
        <x:v>46296</x:v>
      </x:c>
      <x:c r="K22" s="3">
        <x:v>46297</x:v>
      </x:c>
      <x:c r="L22" s="5" t="s">
        <x:v>19</x:v>
      </x:c>
      <x:c r="M22" s="4" t="s">
        <x:v>33</x:v>
      </x:c>
    </x:row>
    <x:row r="23" ht="26.399999618530273">
      <x:c r="A23" s="2" t="s">
        <x:v>34</x:v>
      </x:c>
      <x:c r="B23" s="2" t="s">
        <x:v>35</x:v>
      </x:c>
      <x:c r="C23" s="2" t="s">
        <x:v>22</x:v>
      </x:c>
      <x:c r="D23" s="2" t="s">
        <x:v>15</x:v>
      </x:c>
      <x:c r="E23" s="2" t="s">
        <x:v>167</x:v>
      </x:c>
      <x:c r="F23" s="2" t="s">
        <x:v>168</x:v>
      </x:c>
      <x:c r="G23" s="2" t="s">
        <x:v>124</x:v>
      </x:c>
      <x:c r="H23" s="2" t="s">
        <x:v>169</x:v>
      </x:c>
      <x:c r="I23" s="2" t="str">
        <x:f>IFERROR(INDEX('Thành viên'!$B$2:$B$4,MATCH(C23,'Thành viên'!$A$2:$A$4,0))&amp;"","")</x:f>
      </x:c>
      <x:c r="J23" s="3">
        <x:v>46297</x:v>
      </x:c>
      <x:c r="K23" s="3">
        <x:v>46298</x:v>
      </x:c>
      <x:c r="L23" s="5" t="s">
        <x:v>19</x:v>
      </x:c>
      <x:c r="M23" s="4" t="s">
        <x:v>36</x:v>
      </x:c>
    </x:row>
    <x:row r="24" ht="39.599998474121094">
      <x:c r="A24" s="2" t="s">
        <x:v>34</x:v>
      </x:c>
      <x:c r="B24" s="2" t="s">
        <x:v>35</x:v>
      </x:c>
      <x:c r="C24" s="2" t="s">
        <x:v>22</x:v>
      </x:c>
      <x:c r="D24" s="2" t="s">
        <x:v>15</x:v>
      </x:c>
      <x:c r="E24" s="2" t="s">
        <x:v>167</x:v>
      </x:c>
      <x:c r="F24" s="2" t="s">
        <x:v>168</x:v>
      </x:c>
      <x:c r="G24" s="2" t="s">
        <x:v>129</x:v>
      </x:c>
      <x:c r="H24" s="2" t="s">
        <x:v>170</x:v>
      </x:c>
      <x:c r="I24" s="2" t="str">
        <x:f>IFERROR(INDEX('Thành viên'!$C$2:$C$4,MATCH(C24,'Thành viên'!$A$2:$A$4,0))&amp;"","")</x:f>
      </x:c>
      <x:c r="J24" s="3">
        <x:v>46297</x:v>
      </x:c>
      <x:c r="K24" s="3">
        <x:v>46298</x:v>
      </x:c>
      <x:c r="L24" s="5" t="s">
        <x:v>19</x:v>
      </x:c>
      <x:c r="M24" s="4" t="s">
        <x:v>36</x:v>
      </x:c>
    </x:row>
    <x:row r="25" ht="26.399999618530273">
      <x:c r="A25" s="2" t="s">
        <x:v>34</x:v>
      </x:c>
      <x:c r="B25" s="2" t="s">
        <x:v>35</x:v>
      </x:c>
      <x:c r="C25" s="2" t="s">
        <x:v>22</x:v>
      </x:c>
      <x:c r="D25" s="2" t="s">
        <x:v>15</x:v>
      </x:c>
      <x:c r="E25" s="2" t="s">
        <x:v>171</x:v>
      </x:c>
      <x:c r="F25" s="2" t="s">
        <x:v>172</x:v>
      </x:c>
      <x:c r="G25" s="2" t="s">
        <x:v>124</x:v>
      </x:c>
      <x:c r="H25" s="2" t="s">
        <x:v>173</x:v>
      </x:c>
      <x:c r="I25" s="2" t="str">
        <x:f>IFERROR(INDEX('Thành viên'!$B$2:$B$4,MATCH(C25,'Thành viên'!$A$2:$A$4,0))&amp;"","")</x:f>
      </x:c>
      <x:c r="J25" s="3">
        <x:v>46297</x:v>
      </x:c>
      <x:c r="K25" s="3">
        <x:v>46298</x:v>
      </x:c>
      <x:c r="L25" s="5" t="s">
        <x:v>19</x:v>
      </x:c>
      <x:c r="M25" s="4" t="s">
        <x:v>36</x:v>
      </x:c>
    </x:row>
    <x:row r="26" ht="39.599998474121094">
      <x:c r="A26" s="2" t="s">
        <x:v>34</x:v>
      </x:c>
      <x:c r="B26" s="2" t="s">
        <x:v>35</x:v>
      </x:c>
      <x:c r="C26" s="2" t="s">
        <x:v>22</x:v>
      </x:c>
      <x:c r="D26" s="2" t="s">
        <x:v>15</x:v>
      </x:c>
      <x:c r="E26" s="2" t="s">
        <x:v>171</x:v>
      </x:c>
      <x:c r="F26" s="2" t="s">
        <x:v>172</x:v>
      </x:c>
      <x:c r="G26" s="2" t="s">
        <x:v>129</x:v>
      </x:c>
      <x:c r="H26" s="2" t="s">
        <x:v>174</x:v>
      </x:c>
      <x:c r="I26" s="2" t="str">
        <x:f>IFERROR(INDEX('Thành viên'!$C$2:$C$4,MATCH(C26,'Thành viên'!$A$2:$A$4,0))&amp;"","")</x:f>
      </x:c>
      <x:c r="J26" s="3">
        <x:v>46297</x:v>
      </x:c>
      <x:c r="K26" s="3">
        <x:v>46298</x:v>
      </x:c>
      <x:c r="L26" s="5" t="s">
        <x:v>19</x:v>
      </x:c>
      <x:c r="M26" s="4" t="s">
        <x:v>36</x:v>
      </x:c>
    </x:row>
    <x:row r="27" ht="26.399999618530273">
      <x:c r="A27" s="2" t="s">
        <x:v>34</x:v>
      </x:c>
      <x:c r="B27" s="2" t="s">
        <x:v>35</x:v>
      </x:c>
      <x:c r="C27" s="2" t="s">
        <x:v>22</x:v>
      </x:c>
      <x:c r="D27" s="2" t="s">
        <x:v>15</x:v>
      </x:c>
      <x:c r="E27" s="2" t="s">
        <x:v>175</x:v>
      </x:c>
      <x:c r="F27" s="2" t="s">
        <x:v>176</x:v>
      </x:c>
      <x:c r="G27" s="2" t="s">
        <x:v>124</x:v>
      </x:c>
      <x:c r="H27" s="2" t="s">
        <x:v>177</x:v>
      </x:c>
      <x:c r="I27" s="2" t="str">
        <x:f>IFERROR(INDEX('Thành viên'!$B$2:$B$4,MATCH(C27,'Thành viên'!$A$2:$A$4,0))&amp;"","")</x:f>
      </x:c>
      <x:c r="J27" s="3">
        <x:v>46297</x:v>
      </x:c>
      <x:c r="K27" s="3">
        <x:v>46298</x:v>
      </x:c>
      <x:c r="L27" s="5" t="s">
        <x:v>19</x:v>
      </x:c>
      <x:c r="M27" s="4" t="s">
        <x:v>36</x:v>
      </x:c>
    </x:row>
    <x:row r="28" ht="26.399999618530273">
      <x:c r="A28" s="2" t="s">
        <x:v>34</x:v>
      </x:c>
      <x:c r="B28" s="2" t="s">
        <x:v>35</x:v>
      </x:c>
      <x:c r="C28" s="2" t="s">
        <x:v>22</x:v>
      </x:c>
      <x:c r="D28" s="2" t="s">
        <x:v>15</x:v>
      </x:c>
      <x:c r="E28" s="2" t="s">
        <x:v>175</x:v>
      </x:c>
      <x:c r="F28" s="2" t="s">
        <x:v>176</x:v>
      </x:c>
      <x:c r="G28" s="2" t="s">
        <x:v>129</x:v>
      </x:c>
      <x:c r="H28" s="2" t="s">
        <x:v>178</x:v>
      </x:c>
      <x:c r="I28" s="2" t="str">
        <x:f>IFERROR(INDEX('Thành viên'!$C$2:$C$4,MATCH(C28,'Thành viên'!$A$2:$A$4,0))&amp;"","")</x:f>
      </x:c>
      <x:c r="J28" s="3">
        <x:v>46297</x:v>
      </x:c>
      <x:c r="K28" s="3">
        <x:v>46298</x:v>
      </x:c>
      <x:c r="L28" s="5" t="s">
        <x:v>19</x:v>
      </x:c>
      <x:c r="M28" s="4" t="s">
        <x:v>36</x:v>
      </x:c>
    </x:row>
    <x:row r="29" ht="26.399999618530273">
      <x:c r="A29" s="2" t="s">
        <x:v>37</x:v>
      </x:c>
      <x:c r="B29" s="2" t="s">
        <x:v>38</x:v>
      </x:c>
      <x:c r="C29" s="2" t="s">
        <x:v>22</x:v>
      </x:c>
      <x:c r="D29" s="2" t="s">
        <x:v>15</x:v>
      </x:c>
      <x:c r="E29" s="2" t="s">
        <x:v>179</x:v>
      </x:c>
      <x:c r="F29" s="2" t="s">
        <x:v>180</x:v>
      </x:c>
      <x:c r="G29" s="2" t="s">
        <x:v>129</x:v>
      </x:c>
      <x:c r="H29" s="2" t="s">
        <x:v>181</x:v>
      </x:c>
      <x:c r="I29" s="2" t="str">
        <x:f>IFERROR(INDEX('Thành viên'!$C$2:$C$4,MATCH(C29,'Thành viên'!$A$2:$A$4,0))&amp;"","")</x:f>
      </x:c>
      <x:c r="J29" s="3">
        <x:v>46298</x:v>
      </x:c>
      <x:c r="K29" s="3">
        <x:v>46299</x:v>
      </x:c>
      <x:c r="L29" s="5" t="s">
        <x:v>19</x:v>
      </x:c>
      <x:c r="M29" s="4" t="s">
        <x:v>39</x:v>
      </x:c>
    </x:row>
    <x:row r="30">
      <x:c r="A30" s="2" t="s">
        <x:v>37</x:v>
      </x:c>
      <x:c r="B30" s="2" t="s">
        <x:v>38</x:v>
      </x:c>
      <x:c r="C30" s="2" t="s">
        <x:v>22</x:v>
      </x:c>
      <x:c r="D30" s="2" t="s">
        <x:v>15</x:v>
      </x:c>
      <x:c r="E30" s="2" t="s">
        <x:v>182</x:v>
      </x:c>
      <x:c r="F30" s="2" t="s">
        <x:v>183</x:v>
      </x:c>
      <x:c r="G30" s="2" t="s">
        <x:v>124</x:v>
      </x:c>
      <x:c r="H30" s="2" t="s">
        <x:v>184</x:v>
      </x:c>
      <x:c r="I30" s="2" t="str">
        <x:f>IFERROR(INDEX('Thành viên'!$B$2:$B$4,MATCH(C30,'Thành viên'!$A$2:$A$4,0))&amp;"","")</x:f>
      </x:c>
      <x:c r="J30" s="3">
        <x:v>46298</x:v>
      </x:c>
      <x:c r="K30" s="3">
        <x:v>46299</x:v>
      </x:c>
      <x:c r="L30" s="5" t="s">
        <x:v>19</x:v>
      </x:c>
      <x:c r="M30" s="4" t="s">
        <x:v>39</x:v>
      </x:c>
    </x:row>
    <x:row r="31" ht="26.399999618530273">
      <x:c r="A31" s="2" t="s">
        <x:v>37</x:v>
      </x:c>
      <x:c r="B31" s="2" t="s">
        <x:v>38</x:v>
      </x:c>
      <x:c r="C31" s="2" t="s">
        <x:v>22</x:v>
      </x:c>
      <x:c r="D31" s="2" t="s">
        <x:v>15</x:v>
      </x:c>
      <x:c r="E31" s="2" t="s">
        <x:v>182</x:v>
      </x:c>
      <x:c r="F31" s="2" t="s">
        <x:v>183</x:v>
      </x:c>
      <x:c r="G31" s="2" t="s">
        <x:v>129</x:v>
      </x:c>
      <x:c r="H31" s="2" t="s">
        <x:v>185</x:v>
      </x:c>
      <x:c r="I31" s="2" t="str">
        <x:f>IFERROR(INDEX('Thành viên'!$C$2:$C$4,MATCH(C31,'Thành viên'!$A$2:$A$4,0))&amp;"","")</x:f>
      </x:c>
      <x:c r="J31" s="3">
        <x:v>46298</x:v>
      </x:c>
      <x:c r="K31" s="3">
        <x:v>46299</x:v>
      </x:c>
      <x:c r="L31" s="5" t="s">
        <x:v>19</x:v>
      </x:c>
      <x:c r="M31" s="4" t="s">
        <x:v>39</x:v>
      </x:c>
    </x:row>
    <x:row r="32" ht="39.599998474121094">
      <x:c r="A32" s="2" t="s">
        <x:v>40</x:v>
      </x:c>
      <x:c r="B32" s="2" t="s">
        <x:v>41</x:v>
      </x:c>
      <x:c r="C32" s="2" t="s">
        <x:v>22</x:v>
      </x:c>
      <x:c r="D32" s="2" t="s">
        <x:v>42</x:v>
      </x:c>
      <x:c r="E32" s="2" t="s">
        <x:v>186</x:v>
      </x:c>
      <x:c r="F32" s="2" t="s">
        <x:v>187</x:v>
      </x:c>
      <x:c r="G32" s="2" t="s">
        <x:v>124</x:v>
      </x:c>
      <x:c r="H32" s="2" t="s">
        <x:v>188</x:v>
      </x:c>
      <x:c r="I32" s="2" t="str">
        <x:f>IFERROR(INDEX('Thành viên'!$B$2:$B$4,MATCH(C32,'Thành viên'!$A$2:$A$4,0))&amp;"","")</x:f>
      </x:c>
      <x:c r="J32" s="3">
        <x:v>46300</x:v>
      </x:c>
      <x:c r="K32" s="3">
        <x:v>46302</x:v>
      </x:c>
      <x:c r="L32" s="5" t="s">
        <x:v>19</x:v>
      </x:c>
      <x:c r="M32" s="4" t="s">
        <x:v>45</x:v>
      </x:c>
    </x:row>
    <x:row r="33" ht="39.599998474121094">
      <x:c r="A33" s="2" t="s">
        <x:v>40</x:v>
      </x:c>
      <x:c r="B33" s="2" t="s">
        <x:v>41</x:v>
      </x:c>
      <x:c r="C33" s="2" t="s">
        <x:v>22</x:v>
      </x:c>
      <x:c r="D33" s="2" t="s">
        <x:v>42</x:v>
      </x:c>
      <x:c r="E33" s="2" t="s">
        <x:v>186</x:v>
      </x:c>
      <x:c r="F33" s="2" t="s">
        <x:v>187</x:v>
      </x:c>
      <x:c r="G33" s="2" t="s">
        <x:v>129</x:v>
      </x:c>
      <x:c r="H33" s="2" t="s">
        <x:v>189</x:v>
      </x:c>
      <x:c r="I33" s="2" t="str">
        <x:f>IFERROR(INDEX('Thành viên'!$C$2:$C$4,MATCH(C33,'Thành viên'!$A$2:$A$4,0))&amp;"","")</x:f>
      </x:c>
      <x:c r="J33" s="3">
        <x:v>46300</x:v>
      </x:c>
      <x:c r="K33" s="3">
        <x:v>46302</x:v>
      </x:c>
      <x:c r="L33" s="5" t="s">
        <x:v>19</x:v>
      </x:c>
      <x:c r="M33" s="4" t="s">
        <x:v>45</x:v>
      </x:c>
    </x:row>
    <x:row r="34" ht="26.399999618530273">
      <x:c r="A34" s="2" t="s">
        <x:v>40</x:v>
      </x:c>
      <x:c r="B34" s="2" t="s">
        <x:v>41</x:v>
      </x:c>
      <x:c r="C34" s="2" t="s">
        <x:v>22</x:v>
      </x:c>
      <x:c r="D34" s="2" t="s">
        <x:v>42</x:v>
      </x:c>
      <x:c r="E34" s="2" t="s">
        <x:v>190</x:v>
      </x:c>
      <x:c r="F34" s="2" t="s">
        <x:v>191</x:v>
      </x:c>
      <x:c r="G34" s="2" t="s">
        <x:v>124</x:v>
      </x:c>
      <x:c r="H34" s="2" t="s">
        <x:v>192</x:v>
      </x:c>
      <x:c r="I34" s="2" t="str">
        <x:f>IFERROR(INDEX('Thành viên'!$B$2:$B$4,MATCH(C34,'Thành viên'!$A$2:$A$4,0))&amp;"","")</x:f>
      </x:c>
      <x:c r="J34" s="3">
        <x:v>46300</x:v>
      </x:c>
      <x:c r="K34" s="3">
        <x:v>46302</x:v>
      </x:c>
      <x:c r="L34" s="5" t="s">
        <x:v>19</x:v>
      </x:c>
      <x:c r="M34" s="4" t="s">
        <x:v>45</x:v>
      </x:c>
    </x:row>
    <x:row r="35" ht="26.399999618530273">
      <x:c r="A35" s="2" t="s">
        <x:v>40</x:v>
      </x:c>
      <x:c r="B35" s="2" t="s">
        <x:v>41</x:v>
      </x:c>
      <x:c r="C35" s="2" t="s">
        <x:v>22</x:v>
      </x:c>
      <x:c r="D35" s="2" t="s">
        <x:v>42</x:v>
      </x:c>
      <x:c r="E35" s="2" t="s">
        <x:v>190</x:v>
      </x:c>
      <x:c r="F35" s="2" t="s">
        <x:v>191</x:v>
      </x:c>
      <x:c r="G35" s="2" t="s">
        <x:v>129</x:v>
      </x:c>
      <x:c r="H35" s="2" t="s">
        <x:v>193</x:v>
      </x:c>
      <x:c r="I35" s="2" t="str">
        <x:f>IFERROR(INDEX('Thành viên'!$C$2:$C$4,MATCH(C35,'Thành viên'!$A$2:$A$4,0))&amp;"","")</x:f>
      </x:c>
      <x:c r="J35" s="3">
        <x:v>46300</x:v>
      </x:c>
      <x:c r="K35" s="3">
        <x:v>46302</x:v>
      </x:c>
      <x:c r="L35" s="5" t="s">
        <x:v>19</x:v>
      </x:c>
      <x:c r="M35" s="4" t="s">
        <x:v>45</x:v>
      </x:c>
    </x:row>
    <x:row r="36" ht="39.599998474121094">
      <x:c r="A36" s="2" t="s">
        <x:v>46</x:v>
      </x:c>
      <x:c r="B36" s="2" t="s">
        <x:v>47</x:v>
      </x:c>
      <x:c r="C36" s="2" t="s">
        <x:v>22</x:v>
      </x:c>
      <x:c r="D36" s="2" t="s">
        <x:v>42</x:v>
      </x:c>
      <x:c r="E36" s="2" t="s">
        <x:v>194</x:v>
      </x:c>
      <x:c r="F36" s="2" t="s">
        <x:v>195</x:v>
      </x:c>
      <x:c r="G36" s="2" t="s">
        <x:v>124</x:v>
      </x:c>
      <x:c r="H36" s="2" t="s">
        <x:v>196</x:v>
      </x:c>
      <x:c r="I36" s="2" t="str">
        <x:f>IFERROR(INDEX('Thành viên'!$B$2:$B$4,MATCH(C36,'Thành viên'!$A$2:$A$4,0))&amp;"","")</x:f>
      </x:c>
      <x:c r="J36" s="3">
        <x:v>46302</x:v>
      </x:c>
      <x:c r="K36" s="3">
        <x:v>46304</x:v>
      </x:c>
      <x:c r="L36" s="5" t="s">
        <x:v>19</x:v>
      </x:c>
      <x:c r="M36" s="4" t="s">
        <x:v>49</x:v>
      </x:c>
    </x:row>
    <x:row r="37" ht="39.599998474121094">
      <x:c r="A37" s="2" t="s">
        <x:v>46</x:v>
      </x:c>
      <x:c r="B37" s="2" t="s">
        <x:v>47</x:v>
      </x:c>
      <x:c r="C37" s="2" t="s">
        <x:v>22</x:v>
      </x:c>
      <x:c r="D37" s="2" t="s">
        <x:v>42</x:v>
      </x:c>
      <x:c r="E37" s="2" t="s">
        <x:v>194</x:v>
      </x:c>
      <x:c r="F37" s="2" t="s">
        <x:v>195</x:v>
      </x:c>
      <x:c r="G37" s="2" t="s">
        <x:v>129</x:v>
      </x:c>
      <x:c r="H37" s="2" t="s">
        <x:v>197</x:v>
      </x:c>
      <x:c r="I37" s="2" t="str">
        <x:f>IFERROR(INDEX('Thành viên'!$C$2:$C$4,MATCH(C37,'Thành viên'!$A$2:$A$4,0))&amp;"","")</x:f>
      </x:c>
      <x:c r="J37" s="3">
        <x:v>46302</x:v>
      </x:c>
      <x:c r="K37" s="3">
        <x:v>46304</x:v>
      </x:c>
      <x:c r="L37" s="5" t="s">
        <x:v>19</x:v>
      </x:c>
      <x:c r="M37" s="4" t="s">
        <x:v>49</x:v>
      </x:c>
    </x:row>
    <x:row r="38" ht="39.599998474121094">
      <x:c r="A38" s="2" t="s">
        <x:v>46</x:v>
      </x:c>
      <x:c r="B38" s="2" t="s">
        <x:v>47</x:v>
      </x:c>
      <x:c r="C38" s="2" t="s">
        <x:v>22</x:v>
      </x:c>
      <x:c r="D38" s="2" t="s">
        <x:v>42</x:v>
      </x:c>
      <x:c r="E38" s="2" t="s">
        <x:v>198</x:v>
      </x:c>
      <x:c r="F38" s="2" t="s">
        <x:v>199</x:v>
      </x:c>
      <x:c r="G38" s="2" t="s">
        <x:v>124</x:v>
      </x:c>
      <x:c r="H38" s="2" t="s">
        <x:v>200</x:v>
      </x:c>
      <x:c r="I38" s="2" t="str">
        <x:f>IFERROR(INDEX('Thành viên'!$B$2:$B$4,MATCH(C38,'Thành viên'!$A$2:$A$4,0))&amp;"","")</x:f>
      </x:c>
      <x:c r="J38" s="3">
        <x:v>46302</x:v>
      </x:c>
      <x:c r="K38" s="3">
        <x:v>46304</x:v>
      </x:c>
      <x:c r="L38" s="5" t="s">
        <x:v>19</x:v>
      </x:c>
      <x:c r="M38" s="4" t="s">
        <x:v>49</x:v>
      </x:c>
    </x:row>
    <x:row r="39" ht="39.599998474121094">
      <x:c r="A39" s="2" t="s">
        <x:v>46</x:v>
      </x:c>
      <x:c r="B39" s="2" t="s">
        <x:v>47</x:v>
      </x:c>
      <x:c r="C39" s="2" t="s">
        <x:v>22</x:v>
      </x:c>
      <x:c r="D39" s="2" t="s">
        <x:v>42</x:v>
      </x:c>
      <x:c r="E39" s="2" t="s">
        <x:v>198</x:v>
      </x:c>
      <x:c r="F39" s="2" t="s">
        <x:v>199</x:v>
      </x:c>
      <x:c r="G39" s="2" t="s">
        <x:v>129</x:v>
      </x:c>
      <x:c r="H39" s="2" t="s">
        <x:v>201</x:v>
      </x:c>
      <x:c r="I39" s="2" t="str">
        <x:f>IFERROR(INDEX('Thành viên'!$C$2:$C$4,MATCH(C39,'Thành viên'!$A$2:$A$4,0))&amp;"","")</x:f>
      </x:c>
      <x:c r="J39" s="3">
        <x:v>46302</x:v>
      </x:c>
      <x:c r="K39" s="3">
        <x:v>46304</x:v>
      </x:c>
      <x:c r="L39" s="5" t="s">
        <x:v>19</x:v>
      </x:c>
      <x:c r="M39" s="4" t="s">
        <x:v>49</x:v>
      </x:c>
    </x:row>
    <x:row r="40" ht="39.599998474121094">
      <x:c r="A40" s="2" t="s">
        <x:v>46</x:v>
      </x:c>
      <x:c r="B40" s="2" t="s">
        <x:v>47</x:v>
      </x:c>
      <x:c r="C40" s="2" t="s">
        <x:v>22</x:v>
      </x:c>
      <x:c r="D40" s="2" t="s">
        <x:v>42</x:v>
      </x:c>
      <x:c r="E40" s="2" t="s">
        <x:v>202</x:v>
      </x:c>
      <x:c r="F40" s="2" t="s">
        <x:v>203</x:v>
      </x:c>
      <x:c r="G40" s="2" t="s">
        <x:v>124</x:v>
      </x:c>
      <x:c r="H40" s="2" t="s">
        <x:v>204</x:v>
      </x:c>
      <x:c r="I40" s="2" t="str">
        <x:f>IFERROR(INDEX('Thành viên'!$B$2:$B$4,MATCH(C40,'Thành viên'!$A$2:$A$4,0))&amp;"","")</x:f>
      </x:c>
      <x:c r="J40" s="3">
        <x:v>46302</x:v>
      </x:c>
      <x:c r="K40" s="3">
        <x:v>46304</x:v>
      </x:c>
      <x:c r="L40" s="5" t="s">
        <x:v>19</x:v>
      </x:c>
      <x:c r="M40" s="4" t="s">
        <x:v>49</x:v>
      </x:c>
    </x:row>
    <x:row r="41" ht="39.599998474121094">
      <x:c r="A41" s="2" t="s">
        <x:v>46</x:v>
      </x:c>
      <x:c r="B41" s="2" t="s">
        <x:v>47</x:v>
      </x:c>
      <x:c r="C41" s="2" t="s">
        <x:v>22</x:v>
      </x:c>
      <x:c r="D41" s="2" t="s">
        <x:v>42</x:v>
      </x:c>
      <x:c r="E41" s="2" t="s">
        <x:v>202</x:v>
      </x:c>
      <x:c r="F41" s="2" t="s">
        <x:v>203</x:v>
      </x:c>
      <x:c r="G41" s="2" t="s">
        <x:v>129</x:v>
      </x:c>
      <x:c r="H41" s="2" t="s">
        <x:v>205</x:v>
      </x:c>
      <x:c r="I41" s="2" t="str">
        <x:f>IFERROR(INDEX('Thành viên'!$C$2:$C$4,MATCH(C41,'Thành viên'!$A$2:$A$4,0))&amp;"","")</x:f>
      </x:c>
      <x:c r="J41" s="3">
        <x:v>46302</x:v>
      </x:c>
      <x:c r="K41" s="3">
        <x:v>46304</x:v>
      </x:c>
      <x:c r="L41" s="5" t="s">
        <x:v>19</x:v>
      </x:c>
      <x:c r="M41" s="4" t="s">
        <x:v>49</x:v>
      </x:c>
    </x:row>
    <x:row r="42" ht="39.599998474121094">
      <x:c r="A42" s="2" t="s">
        <x:v>46</x:v>
      </x:c>
      <x:c r="B42" s="2" t="s">
        <x:v>47</x:v>
      </x:c>
      <x:c r="C42" s="2" t="s">
        <x:v>22</x:v>
      </x:c>
      <x:c r="D42" s="2" t="s">
        <x:v>42</x:v>
      </x:c>
      <x:c r="E42" s="2" t="s">
        <x:v>190</x:v>
      </x:c>
      <x:c r="F42" s="2" t="s">
        <x:v>206</x:v>
      </x:c>
      <x:c r="G42" s="2" t="s">
        <x:v>124</x:v>
      </x:c>
      <x:c r="H42" s="2" t="s">
        <x:v>207</x:v>
      </x:c>
      <x:c r="I42" s="2" t="str">
        <x:f>IFERROR(INDEX('Thành viên'!$B$2:$B$4,MATCH(C42,'Thành viên'!$A$2:$A$4,0))&amp;"","")</x:f>
      </x:c>
      <x:c r="J42" s="3">
        <x:v>46302</x:v>
      </x:c>
      <x:c r="K42" s="3">
        <x:v>46304</x:v>
      </x:c>
      <x:c r="L42" s="5" t="s">
        <x:v>19</x:v>
      </x:c>
      <x:c r="M42" s="4" t="s">
        <x:v>49</x:v>
      </x:c>
    </x:row>
    <x:row r="43" ht="39.599998474121094">
      <x:c r="A43" s="2" t="s">
        <x:v>46</x:v>
      </x:c>
      <x:c r="B43" s="2" t="s">
        <x:v>47</x:v>
      </x:c>
      <x:c r="C43" s="2" t="s">
        <x:v>22</x:v>
      </x:c>
      <x:c r="D43" s="2" t="s">
        <x:v>42</x:v>
      </x:c>
      <x:c r="E43" s="2" t="s">
        <x:v>190</x:v>
      </x:c>
      <x:c r="F43" s="2" t="s">
        <x:v>206</x:v>
      </x:c>
      <x:c r="G43" s="2" t="s">
        <x:v>129</x:v>
      </x:c>
      <x:c r="H43" s="2" t="s">
        <x:v>208</x:v>
      </x:c>
      <x:c r="I43" s="2" t="str">
        <x:f>IFERROR(INDEX('Thành viên'!$C$2:$C$4,MATCH(C43,'Thành viên'!$A$2:$A$4,0))&amp;"","")</x:f>
      </x:c>
      <x:c r="J43" s="3">
        <x:v>46302</x:v>
      </x:c>
      <x:c r="K43" s="3">
        <x:v>46304</x:v>
      </x:c>
      <x:c r="L43" s="5" t="s">
        <x:v>19</x:v>
      </x:c>
      <x:c r="M43" s="4" t="s">
        <x:v>49</x:v>
      </x:c>
    </x:row>
    <x:row r="44" ht="26.399999618530273">
      <x:c r="A44" s="2" t="s">
        <x:v>50</x:v>
      </x:c>
      <x:c r="B44" s="2" t="s">
        <x:v>51</x:v>
      </x:c>
      <x:c r="C44" s="2" t="s">
        <x:v>22</x:v>
      </x:c>
      <x:c r="D44" s="2" t="s">
        <x:v>42</x:v>
      </x:c>
      <x:c r="E44" s="2" t="s">
        <x:v>186</x:v>
      </x:c>
      <x:c r="F44" s="2" t="s">
        <x:v>209</x:v>
      </x:c>
      <x:c r="G44" s="2" t="s">
        <x:v>124</x:v>
      </x:c>
      <x:c r="H44" s="2" t="s">
        <x:v>210</x:v>
      </x:c>
      <x:c r="I44" s="2" t="str">
        <x:f>IFERROR(INDEX('Thành viên'!$B$2:$B$4,MATCH(C44,'Thành viên'!$A$2:$A$4,0))&amp;"","")</x:f>
      </x:c>
      <x:c r="J44" s="3">
        <x:v>46304</x:v>
      </x:c>
      <x:c r="K44" s="3">
        <x:v>46306</x:v>
      </x:c>
      <x:c r="L44" s="5" t="s">
        <x:v>19</x:v>
      </x:c>
      <x:c r="M44" s="4" t="s">
        <x:v>53</x:v>
      </x:c>
    </x:row>
    <x:row r="45" ht="26.399999618530273">
      <x:c r="A45" s="2" t="s">
        <x:v>50</x:v>
      </x:c>
      <x:c r="B45" s="2" t="s">
        <x:v>51</x:v>
      </x:c>
      <x:c r="C45" s="2" t="s">
        <x:v>22</x:v>
      </x:c>
      <x:c r="D45" s="2" t="s">
        <x:v>42</x:v>
      </x:c>
      <x:c r="E45" s="2" t="s">
        <x:v>186</x:v>
      </x:c>
      <x:c r="F45" s="2" t="s">
        <x:v>209</x:v>
      </x:c>
      <x:c r="G45" s="2" t="s">
        <x:v>129</x:v>
      </x:c>
      <x:c r="H45" s="2" t="s">
        <x:v>211</x:v>
      </x:c>
      <x:c r="I45" s="2" t="str">
        <x:f>IFERROR(INDEX('Thành viên'!$C$2:$C$4,MATCH(C45,'Thành viên'!$A$2:$A$4,0))&amp;"","")</x:f>
      </x:c>
      <x:c r="J45" s="3">
        <x:v>46304</x:v>
      </x:c>
      <x:c r="K45" s="3">
        <x:v>46306</x:v>
      </x:c>
      <x:c r="L45" s="5" t="s">
        <x:v>19</x:v>
      </x:c>
      <x:c r="M45" s="4" t="s">
        <x:v>53</x:v>
      </x:c>
    </x:row>
    <x:row r="46" ht="26.399999618530273">
      <x:c r="A46" s="2" t="s">
        <x:v>50</x:v>
      </x:c>
      <x:c r="B46" s="2" t="s">
        <x:v>51</x:v>
      </x:c>
      <x:c r="C46" s="2" t="s">
        <x:v>22</x:v>
      </x:c>
      <x:c r="D46" s="2" t="s">
        <x:v>42</x:v>
      </x:c>
      <x:c r="E46" s="2" t="s">
        <x:v>212</x:v>
      </x:c>
      <x:c r="F46" s="2" t="s">
        <x:v>213</x:v>
      </x:c>
      <x:c r="G46" s="2" t="s">
        <x:v>124</x:v>
      </x:c>
      <x:c r="H46" s="2" t="s">
        <x:v>214</x:v>
      </x:c>
      <x:c r="I46" s="2" t="str">
        <x:f>IFERROR(INDEX('Thành viên'!$B$2:$B$4,MATCH(C46,'Thành viên'!$A$2:$A$4,0))&amp;"","")</x:f>
      </x:c>
      <x:c r="J46" s="3">
        <x:v>46304</x:v>
      </x:c>
      <x:c r="K46" s="3">
        <x:v>46306</x:v>
      </x:c>
      <x:c r="L46" s="5" t="s">
        <x:v>19</x:v>
      </x:c>
      <x:c r="M46" s="4" t="s">
        <x:v>53</x:v>
      </x:c>
    </x:row>
    <x:row r="47" ht="26.399999618530273">
      <x:c r="A47" s="2" t="s">
        <x:v>50</x:v>
      </x:c>
      <x:c r="B47" s="2" t="s">
        <x:v>51</x:v>
      </x:c>
      <x:c r="C47" s="2" t="s">
        <x:v>22</x:v>
      </x:c>
      <x:c r="D47" s="2" t="s">
        <x:v>42</x:v>
      </x:c>
      <x:c r="E47" s="2" t="s">
        <x:v>212</x:v>
      </x:c>
      <x:c r="F47" s="2" t="s">
        <x:v>213</x:v>
      </x:c>
      <x:c r="G47" s="2" t="s">
        <x:v>129</x:v>
      </x:c>
      <x:c r="H47" s="2" t="s">
        <x:v>215</x:v>
      </x:c>
      <x:c r="I47" s="2" t="str">
        <x:f>IFERROR(INDEX('Thành viên'!$C$2:$C$4,MATCH(C47,'Thành viên'!$A$2:$A$4,0))&amp;"","")</x:f>
      </x:c>
      <x:c r="J47" s="3">
        <x:v>46304</x:v>
      </x:c>
      <x:c r="K47" s="3">
        <x:v>46306</x:v>
      </x:c>
      <x:c r="L47" s="5" t="s">
        <x:v>19</x:v>
      </x:c>
      <x:c r="M47" s="4" t="s">
        <x:v>53</x:v>
      </x:c>
    </x:row>
    <x:row r="48" ht="26.399999618530273">
      <x:c r="A48" s="2" t="s">
        <x:v>50</x:v>
      </x:c>
      <x:c r="B48" s="2" t="s">
        <x:v>51</x:v>
      </x:c>
      <x:c r="C48" s="2" t="s">
        <x:v>22</x:v>
      </x:c>
      <x:c r="D48" s="2" t="s">
        <x:v>42</x:v>
      </x:c>
      <x:c r="E48" s="2" t="s">
        <x:v>190</x:v>
      </x:c>
      <x:c r="F48" s="2" t="s">
        <x:v>216</x:v>
      </x:c>
      <x:c r="G48" s="2" t="s">
        <x:v>124</x:v>
      </x:c>
      <x:c r="H48" s="2" t="s">
        <x:v>217</x:v>
      </x:c>
      <x:c r="I48" s="2" t="str">
        <x:f>IFERROR(INDEX('Thành viên'!$B$2:$B$4,MATCH(C48,'Thành viên'!$A$2:$A$4,0))&amp;"","")</x:f>
      </x:c>
      <x:c r="J48" s="3">
        <x:v>46304</x:v>
      </x:c>
      <x:c r="K48" s="3">
        <x:v>46306</x:v>
      </x:c>
      <x:c r="L48" s="5" t="s">
        <x:v>19</x:v>
      </x:c>
      <x:c r="M48" s="4" t="s">
        <x:v>53</x:v>
      </x:c>
    </x:row>
    <x:row r="49" ht="26.399999618530273">
      <x:c r="A49" s="2" t="s">
        <x:v>50</x:v>
      </x:c>
      <x:c r="B49" s="2" t="s">
        <x:v>51</x:v>
      </x:c>
      <x:c r="C49" s="2" t="s">
        <x:v>22</x:v>
      </x:c>
      <x:c r="D49" s="2" t="s">
        <x:v>42</x:v>
      </x:c>
      <x:c r="E49" s="2" t="s">
        <x:v>190</x:v>
      </x:c>
      <x:c r="F49" s="2" t="s">
        <x:v>216</x:v>
      </x:c>
      <x:c r="G49" s="2" t="s">
        <x:v>129</x:v>
      </x:c>
      <x:c r="H49" s="2" t="s">
        <x:v>218</x:v>
      </x:c>
      <x:c r="I49" s="2" t="str">
        <x:f>IFERROR(INDEX('Thành viên'!$C$2:$C$4,MATCH(C49,'Thành viên'!$A$2:$A$4,0))&amp;"","")</x:f>
      </x:c>
      <x:c r="J49" s="3">
        <x:v>46304</x:v>
      </x:c>
      <x:c r="K49" s="3">
        <x:v>46306</x:v>
      </x:c>
      <x:c r="L49" s="5" t="s">
        <x:v>19</x:v>
      </x:c>
      <x:c r="M49" s="4" t="s">
        <x:v>53</x:v>
      </x:c>
    </x:row>
    <x:row r="50" ht="39.599998474121094">
      <x:c r="A50" s="2" t="s">
        <x:v>54</x:v>
      </x:c>
      <x:c r="B50" s="2" t="s">
        <x:v>55</x:v>
      </x:c>
      <x:c r="C50" s="2" t="s">
        <x:v>22</x:v>
      </x:c>
      <x:c r="D50" s="2" t="s">
        <x:v>56</x:v>
      </x:c>
      <x:c r="E50" s="2" t="s">
        <x:v>186</x:v>
      </x:c>
      <x:c r="F50" s="2" t="s">
        <x:v>219</x:v>
      </x:c>
      <x:c r="G50" s="2" t="s">
        <x:v>124</x:v>
      </x:c>
      <x:c r="H50" s="2" t="s">
        <x:v>220</x:v>
      </x:c>
      <x:c r="I50" s="2" t="str">
        <x:f>IFERROR(INDEX('Thành viên'!$B$2:$B$4,MATCH(C50,'Thành viên'!$A$2:$A$4,0))&amp;"","")</x:f>
      </x:c>
      <x:c r="J50" s="3">
        <x:v>46307</x:v>
      </x:c>
      <x:c r="K50" s="3">
        <x:v>46308</x:v>
      </x:c>
      <x:c r="L50" s="5" t="s">
        <x:v>19</x:v>
      </x:c>
      <x:c r="M50" s="4" t="s">
        <x:v>58</x:v>
      </x:c>
    </x:row>
    <x:row r="51" ht="26.399999618530273">
      <x:c r="A51" s="2" t="s">
        <x:v>54</x:v>
      </x:c>
      <x:c r="B51" s="2" t="s">
        <x:v>55</x:v>
      </x:c>
      <x:c r="C51" s="2" t="s">
        <x:v>22</x:v>
      </x:c>
      <x:c r="D51" s="2" t="s">
        <x:v>56</x:v>
      </x:c>
      <x:c r="E51" s="2" t="s">
        <x:v>186</x:v>
      </x:c>
      <x:c r="F51" s="2" t="s">
        <x:v>219</x:v>
      </x:c>
      <x:c r="G51" s="2" t="s">
        <x:v>129</x:v>
      </x:c>
      <x:c r="H51" s="2" t="s">
        <x:v>221</x:v>
      </x:c>
      <x:c r="I51" s="2" t="str">
        <x:f>IFERROR(INDEX('Thành viên'!$C$2:$C$4,MATCH(C51,'Thành viên'!$A$2:$A$4,0))&amp;"","")</x:f>
      </x:c>
      <x:c r="J51" s="3">
        <x:v>46307</x:v>
      </x:c>
      <x:c r="K51" s="3">
        <x:v>46308</x:v>
      </x:c>
      <x:c r="L51" s="5" t="s">
        <x:v>19</x:v>
      </x:c>
      <x:c r="M51" s="4" t="s">
        <x:v>58</x:v>
      </x:c>
    </x:row>
    <x:row r="52" ht="26.399999618530273">
      <x:c r="A52" s="2" t="s">
        <x:v>59</x:v>
      </x:c>
      <x:c r="B52" s="2" t="s">
        <x:v>60</x:v>
      </x:c>
      <x:c r="C52" s="2" t="s">
        <x:v>22</x:v>
      </x:c>
      <x:c r="D52" s="2" t="s">
        <x:v>56</x:v>
      </x:c>
      <x:c r="E52" s="2" t="s">
        <x:v>186</x:v>
      </x:c>
      <x:c r="F52" s="2" t="s">
        <x:v>222</x:v>
      </x:c>
      <x:c r="G52" s="2" t="s">
        <x:v>124</x:v>
      </x:c>
      <x:c r="H52" s="2" t="s">
        <x:v>223</x:v>
      </x:c>
      <x:c r="I52" s="2" t="str">
        <x:f>IFERROR(INDEX('Thành viên'!$B$2:$B$4,MATCH(C52,'Thành viên'!$A$2:$A$4,0))&amp;"","")</x:f>
      </x:c>
      <x:c r="J52" s="3">
        <x:v>46309</x:v>
      </x:c>
      <x:c r="K52" s="3">
        <x:v>46310</x:v>
      </x:c>
      <x:c r="L52" s="5" t="s">
        <x:v>19</x:v>
      </x:c>
      <x:c r="M52" s="4" t="s">
        <x:v>63</x:v>
      </x:c>
    </x:row>
    <x:row r="53" ht="26.399999618530273">
      <x:c r="A53" s="2" t="s">
        <x:v>59</x:v>
      </x:c>
      <x:c r="B53" s="2" t="s">
        <x:v>60</x:v>
      </x:c>
      <x:c r="C53" s="2" t="s">
        <x:v>22</x:v>
      </x:c>
      <x:c r="D53" s="2" t="s">
        <x:v>56</x:v>
      </x:c>
      <x:c r="E53" s="2" t="s">
        <x:v>186</x:v>
      </x:c>
      <x:c r="F53" s="2" t="s">
        <x:v>222</x:v>
      </x:c>
      <x:c r="G53" s="2" t="s">
        <x:v>129</x:v>
      </x:c>
      <x:c r="H53" s="2" t="s">
        <x:v>224</x:v>
      </x:c>
      <x:c r="I53" s="2" t="str">
        <x:f>IFERROR(INDEX('Thành viên'!$C$2:$C$4,MATCH(C53,'Thành viên'!$A$2:$A$4,0))&amp;"","")</x:f>
      </x:c>
      <x:c r="J53" s="3">
        <x:v>46309</x:v>
      </x:c>
      <x:c r="K53" s="3">
        <x:v>46310</x:v>
      </x:c>
      <x:c r="L53" s="5" t="s">
        <x:v>19</x:v>
      </x:c>
      <x:c r="M53" s="4" t="s">
        <x:v>63</x:v>
      </x:c>
    </x:row>
    <x:row r="54" ht="26.399999618530273">
      <x:c r="A54" s="2" t="s">
        <x:v>59</x:v>
      </x:c>
      <x:c r="B54" s="2" t="s">
        <x:v>60</x:v>
      </x:c>
      <x:c r="C54" s="2" t="s">
        <x:v>22</x:v>
      </x:c>
      <x:c r="D54" s="2" t="s">
        <x:v>56</x:v>
      </x:c>
      <x:c r="E54" s="2" t="s">
        <x:v>225</x:v>
      </x:c>
      <x:c r="F54" s="2" t="s">
        <x:v>226</x:v>
      </x:c>
      <x:c r="G54" s="2" t="s">
        <x:v>124</x:v>
      </x:c>
      <x:c r="H54" s="2" t="s">
        <x:v>227</x:v>
      </x:c>
      <x:c r="I54" s="2" t="str">
        <x:f>IFERROR(INDEX('Thành viên'!$B$2:$B$4,MATCH(C54,'Thành viên'!$A$2:$A$4,0))&amp;"","")</x:f>
      </x:c>
      <x:c r="J54" s="3">
        <x:v>46309</x:v>
      </x:c>
      <x:c r="K54" s="3">
        <x:v>46310</x:v>
      </x:c>
      <x:c r="L54" s="5" t="s">
        <x:v>19</x:v>
      </x:c>
      <x:c r="M54" s="4" t="s">
        <x:v>63</x:v>
      </x:c>
    </x:row>
    <x:row r="55" ht="26.399999618530273">
      <x:c r="A55" s="2" t="s">
        <x:v>59</x:v>
      </x:c>
      <x:c r="B55" s="2" t="s">
        <x:v>60</x:v>
      </x:c>
      <x:c r="C55" s="2" t="s">
        <x:v>22</x:v>
      </x:c>
      <x:c r="D55" s="2" t="s">
        <x:v>56</x:v>
      </x:c>
      <x:c r="E55" s="2" t="s">
        <x:v>225</x:v>
      </x:c>
      <x:c r="F55" s="2" t="s">
        <x:v>226</x:v>
      </x:c>
      <x:c r="G55" s="2" t="s">
        <x:v>129</x:v>
      </x:c>
      <x:c r="H55" s="2" t="s">
        <x:v>228</x:v>
      </x:c>
      <x:c r="I55" s="2" t="str">
        <x:f>IFERROR(INDEX('Thành viên'!$C$2:$C$4,MATCH(C55,'Thành viên'!$A$2:$A$4,0))&amp;"","")</x:f>
      </x:c>
      <x:c r="J55" s="3">
        <x:v>46309</x:v>
      </x:c>
      <x:c r="K55" s="3">
        <x:v>46310</x:v>
      </x:c>
      <x:c r="L55" s="5" t="s">
        <x:v>19</x:v>
      </x:c>
      <x:c r="M55" s="4" t="s">
        <x:v>63</x:v>
      </x:c>
    </x:row>
    <x:row r="56" ht="26.399999618530273">
      <x:c r="A56" s="2" t="s">
        <x:v>59</x:v>
      </x:c>
      <x:c r="B56" s="2" t="s">
        <x:v>60</x:v>
      </x:c>
      <x:c r="C56" s="2" t="s">
        <x:v>22</x:v>
      </x:c>
      <x:c r="D56" s="2" t="s">
        <x:v>56</x:v>
      </x:c>
      <x:c r="E56" s="2" t="s">
        <x:v>229</x:v>
      </x:c>
      <x:c r="F56" s="2" t="s">
        <x:v>230</x:v>
      </x:c>
      <x:c r="G56" s="2" t="s">
        <x:v>124</x:v>
      </x:c>
      <x:c r="H56" s="2" t="s">
        <x:v>231</x:v>
      </x:c>
      <x:c r="I56" s="2" t="str">
        <x:f>IFERROR(INDEX('Thành viên'!$B$2:$B$4,MATCH(C56,'Thành viên'!$A$2:$A$4,0))&amp;"","")</x:f>
      </x:c>
      <x:c r="J56" s="3">
        <x:v>46309</x:v>
      </x:c>
      <x:c r="K56" s="3">
        <x:v>46310</x:v>
      </x:c>
      <x:c r="L56" s="5" t="s">
        <x:v>19</x:v>
      </x:c>
      <x:c r="M56" s="4" t="s">
        <x:v>63</x:v>
      </x:c>
    </x:row>
    <x:row r="57" ht="26.399999618530273">
      <x:c r="A57" s="2" t="s">
        <x:v>59</x:v>
      </x:c>
      <x:c r="B57" s="2" t="s">
        <x:v>60</x:v>
      </x:c>
      <x:c r="C57" s="2" t="s">
        <x:v>22</x:v>
      </x:c>
      <x:c r="D57" s="2" t="s">
        <x:v>56</x:v>
      </x:c>
      <x:c r="E57" s="2" t="s">
        <x:v>229</x:v>
      </x:c>
      <x:c r="F57" s="2" t="s">
        <x:v>230</x:v>
      </x:c>
      <x:c r="G57" s="2" t="s">
        <x:v>129</x:v>
      </x:c>
      <x:c r="H57" s="2" t="s">
        <x:v>232</x:v>
      </x:c>
      <x:c r="I57" s="2" t="str">
        <x:f>IFERROR(INDEX('Thành viên'!$C$2:$C$4,MATCH(C57,'Thành viên'!$A$2:$A$4,0))&amp;"","")</x:f>
      </x:c>
      <x:c r="J57" s="3">
        <x:v>46309</x:v>
      </x:c>
      <x:c r="K57" s="3">
        <x:v>46310</x:v>
      </x:c>
      <x:c r="L57" s="5" t="s">
        <x:v>19</x:v>
      </x:c>
      <x:c r="M57" s="4" t="s">
        <x:v>63</x:v>
      </x:c>
    </x:row>
    <x:row r="58">
      <x:c r="A58" s="2" t="s">
        <x:v>64</x:v>
      </x:c>
      <x:c r="B58" s="2" t="s">
        <x:v>65</x:v>
      </x:c>
      <x:c r="C58" s="2" t="s">
        <x:v>22</x:v>
      </x:c>
      <x:c r="D58" s="2" t="s">
        <x:v>56</x:v>
      </x:c>
      <x:c r="E58" s="2" t="s">
        <x:v>233</x:v>
      </x:c>
      <x:c r="F58" s="2" t="s">
        <x:v>65</x:v>
      </x:c>
      <x:c r="G58" s="2" t="s">
        <x:v>124</x:v>
      </x:c>
      <x:c r="H58" s="2" t="s">
        <x:v>234</x:v>
      </x:c>
      <x:c r="I58" s="2" t="str">
        <x:f>IFERROR(INDEX('Thành viên'!$B$2:$B$4,MATCH(C58,'Thành viên'!$A$2:$A$4,0))&amp;"","")</x:f>
      </x:c>
      <x:c r="J58" s="3">
        <x:v>46311</x:v>
      </x:c>
      <x:c r="K58" s="3">
        <x:v>46311</x:v>
      </x:c>
      <x:c r="L58" s="5" t="s">
        <x:v>19</x:v>
      </x:c>
      <x:c r="M58" s="4" t="s">
        <x:v>67</x:v>
      </x:c>
    </x:row>
    <x:row r="59" ht="26.399999618530273">
      <x:c r="A59" s="2" t="s">
        <x:v>64</x:v>
      </x:c>
      <x:c r="B59" s="2" t="s">
        <x:v>65</x:v>
      </x:c>
      <x:c r="C59" s="2" t="s">
        <x:v>22</x:v>
      </x:c>
      <x:c r="D59" s="2" t="s">
        <x:v>56</x:v>
      </x:c>
      <x:c r="E59" s="2" t="s">
        <x:v>233</x:v>
      </x:c>
      <x:c r="F59" s="2" t="s">
        <x:v>65</x:v>
      </x:c>
      <x:c r="G59" s="2" t="s">
        <x:v>129</x:v>
      </x:c>
      <x:c r="H59" s="2" t="s">
        <x:v>235</x:v>
      </x:c>
      <x:c r="I59" s="2" t="str">
        <x:f>IFERROR(INDEX('Thành viên'!$C$2:$C$4,MATCH(C59,'Thành viên'!$A$2:$A$4,0))&amp;"","")</x:f>
      </x:c>
      <x:c r="J59" s="3">
        <x:v>46311</x:v>
      </x:c>
      <x:c r="K59" s="3">
        <x:v>46311</x:v>
      </x:c>
      <x:c r="L59" s="5" t="s">
        <x:v>19</x:v>
      </x:c>
      <x:c r="M59" s="4" t="s">
        <x:v>67</x:v>
      </x:c>
    </x:row>
    <x:row r="60">
      <x:c r="A60" s="2" t="s">
        <x:v>68</x:v>
      </x:c>
      <x:c r="B60" s="2" t="s">
        <x:v>69</x:v>
      </x:c>
      <x:c r="C60" s="2" t="s">
        <x:v>22</x:v>
      </x:c>
      <x:c r="D60" s="2" t="s">
        <x:v>56</x:v>
      </x:c>
      <x:c r="E60" s="2" t="s">
        <x:v>190</x:v>
      </x:c>
      <x:c r="F60" s="2" t="s">
        <x:v>236</x:v>
      </x:c>
      <x:c r="G60" s="2" t="s">
        <x:v>124</x:v>
      </x:c>
      <x:c r="H60" s="2" t="s">
        <x:v>237</x:v>
      </x:c>
      <x:c r="I60" s="2" t="str">
        <x:f>IFERROR(INDEX('Thành viên'!$B$2:$B$4,MATCH(C60,'Thành viên'!$A$2:$A$4,0))&amp;"","")</x:f>
      </x:c>
      <x:c r="J60" s="3">
        <x:v>46312</x:v>
      </x:c>
      <x:c r="K60" s="3">
        <x:v>46312</x:v>
      </x:c>
      <x:c r="L60" s="5" t="s">
        <x:v>19</x:v>
      </x:c>
      <x:c r="M60" s="4" t="s">
        <x:v>71</x:v>
      </x:c>
    </x:row>
    <x:row r="61">
      <x:c r="A61" s="2" t="s">
        <x:v>68</x:v>
      </x:c>
      <x:c r="B61" s="2" t="s">
        <x:v>69</x:v>
      </x:c>
      <x:c r="C61" s="2" t="s">
        <x:v>22</x:v>
      </x:c>
      <x:c r="D61" s="2" t="s">
        <x:v>56</x:v>
      </x:c>
      <x:c r="E61" s="2" t="s">
        <x:v>190</x:v>
      </x:c>
      <x:c r="F61" s="2" t="s">
        <x:v>236</x:v>
      </x:c>
      <x:c r="G61" s="2" t="s">
        <x:v>129</x:v>
      </x:c>
      <x:c r="H61" s="2" t="s">
        <x:v>238</x:v>
      </x:c>
      <x:c r="I61" s="2" t="str">
        <x:f>IFERROR(INDEX('Thành viên'!$C$2:$C$4,MATCH(C61,'Thành viên'!$A$2:$A$4,0))&amp;"","")</x:f>
      </x:c>
      <x:c r="J61" s="3">
        <x:v>46312</x:v>
      </x:c>
      <x:c r="K61" s="3">
        <x:v>46312</x:v>
      </x:c>
      <x:c r="L61" s="5" t="s">
        <x:v>19</x:v>
      </x:c>
      <x:c r="M61" s="4" t="s">
        <x:v>71</x:v>
      </x:c>
    </x:row>
    <x:row r="62" ht="26.399999618530273">
      <x:c r="A62" s="2" t="s">
        <x:v>72</x:v>
      </x:c>
      <x:c r="B62" s="2" t="s">
        <x:v>73</x:v>
      </x:c>
      <x:c r="C62" s="2" t="s">
        <x:v>22</x:v>
      </x:c>
      <x:c r="D62" s="2" t="s">
        <x:v>56</x:v>
      </x:c>
      <x:c r="E62" s="2" t="s">
        <x:v>239</x:v>
      </x:c>
      <x:c r="F62" s="2" t="s">
        <x:v>240</x:v>
      </x:c>
      <x:c r="G62" s="2" t="s">
        <x:v>124</x:v>
      </x:c>
      <x:c r="H62" s="2" t="s">
        <x:v>241</x:v>
      </x:c>
      <x:c r="I62" s="2" t="str">
        <x:f>IFERROR(INDEX('Thành viên'!$B$2:$B$4,MATCH(C62,'Thành viên'!$A$2:$A$4,0))&amp;"","")</x:f>
      </x:c>
      <x:c r="J62" s="3">
        <x:v>46313</x:v>
      </x:c>
      <x:c r="K62" s="3">
        <x:v>46313</x:v>
      </x:c>
      <x:c r="L62" s="5" t="s">
        <x:v>19</x:v>
      </x:c>
      <x:c r="M62" s="4" t="s">
        <x:v>75</x:v>
      </x:c>
    </x:row>
    <x:row r="63" ht="26.399999618530273">
      <x:c r="A63" s="2" t="s">
        <x:v>72</x:v>
      </x:c>
      <x:c r="B63" s="2" t="s">
        <x:v>73</x:v>
      </x:c>
      <x:c r="C63" s="2" t="s">
        <x:v>22</x:v>
      </x:c>
      <x:c r="D63" s="2" t="s">
        <x:v>56</x:v>
      </x:c>
      <x:c r="E63" s="2" t="s">
        <x:v>239</x:v>
      </x:c>
      <x:c r="F63" s="2" t="s">
        <x:v>240</x:v>
      </x:c>
      <x:c r="G63" s="2" t="s">
        <x:v>129</x:v>
      </x:c>
      <x:c r="H63" s="2" t="s">
        <x:v>242</x:v>
      </x:c>
      <x:c r="I63" s="2" t="str">
        <x:f>IFERROR(INDEX('Thành viên'!$C$2:$C$4,MATCH(C63,'Thành viên'!$A$2:$A$4,0))&amp;"","")</x:f>
      </x:c>
      <x:c r="J63" s="3">
        <x:v>46313</x:v>
      </x:c>
      <x:c r="K63" s="3">
        <x:v>46313</x:v>
      </x:c>
      <x:c r="L63" s="5" t="s">
        <x:v>19</x:v>
      </x:c>
      <x:c r="M63" s="4" t="s">
        <x:v>75</x:v>
      </x:c>
    </x:row>
    <x:row r="64" ht="39.599998474121094">
      <x:c r="A64" s="2" t="s">
        <x:v>76</x:v>
      </x:c>
      <x:c r="B64" s="2" t="s">
        <x:v>77</x:v>
      </x:c>
      <x:c r="C64" s="2" t="s">
        <x:v>78</x:v>
      </x:c>
      <x:c r="D64" s="2" t="s">
        <x:v>15</x:v>
      </x:c>
      <x:c r="E64" s="2" t="s">
        <x:v>239</x:v>
      </x:c>
      <x:c r="F64" s="2" t="s">
        <x:v>243</x:v>
      </x:c>
      <x:c r="G64" s="2" t="s">
        <x:v>124</x:v>
      </x:c>
      <x:c r="H64" s="2" t="s">
        <x:v>244</x:v>
      </x:c>
      <x:c r="I64" s="2" t="str">
        <x:f>IFERROR(INDEX('Thành viên'!$B$2:$B$4,MATCH(C64,'Thành viên'!$A$2:$A$4,0))&amp;"","")</x:f>
      </x:c>
      <x:c r="J64" s="3">
        <x:v>46293</x:v>
      </x:c>
      <x:c r="K64" s="3">
        <x:v>46295</x:v>
      </x:c>
      <x:c r="L64" s="5" t="s">
        <x:v>19</x:v>
      </x:c>
      <x:c r="M64" s="4" t="s">
        <x:v>80</x:v>
      </x:c>
    </x:row>
    <x:row r="65" ht="39.599998474121094">
      <x:c r="A65" s="2" t="s">
        <x:v>76</x:v>
      </x:c>
      <x:c r="B65" s="2" t="s">
        <x:v>77</x:v>
      </x:c>
      <x:c r="C65" s="2" t="s">
        <x:v>78</x:v>
      </x:c>
      <x:c r="D65" s="2" t="s">
        <x:v>15</x:v>
      </x:c>
      <x:c r="E65" s="2" t="s">
        <x:v>239</x:v>
      </x:c>
      <x:c r="F65" s="2" t="s">
        <x:v>243</x:v>
      </x:c>
      <x:c r="G65" s="2" t="s">
        <x:v>129</x:v>
      </x:c>
      <x:c r="H65" s="2" t="s">
        <x:v>245</x:v>
      </x:c>
      <x:c r="I65" s="2" t="str">
        <x:f>IFERROR(INDEX('Thành viên'!$C$2:$C$4,MATCH(C65,'Thành viên'!$A$2:$A$4,0))&amp;"","")</x:f>
      </x:c>
      <x:c r="J65" s="3">
        <x:v>46293</x:v>
      </x:c>
      <x:c r="K65" s="3">
        <x:v>46295</x:v>
      </x:c>
      <x:c r="L65" s="5" t="s">
        <x:v>19</x:v>
      </x:c>
      <x:c r="M65" s="4" t="s">
        <x:v>80</x:v>
      </x:c>
    </x:row>
    <x:row r="66" ht="39.599998474121094">
      <x:c r="A66" s="2" t="s">
        <x:v>81</x:v>
      </x:c>
      <x:c r="B66" s="2" t="s">
        <x:v>82</x:v>
      </x:c>
      <x:c r="C66" s="2" t="s">
        <x:v>78</x:v>
      </x:c>
      <x:c r="D66" s="2" t="s">
        <x:v>15</x:v>
      </x:c>
      <x:c r="E66" s="2" t="s">
        <x:v>246</x:v>
      </x:c>
      <x:c r="F66" s="2" t="s">
        <x:v>247</x:v>
      </x:c>
      <x:c r="G66" s="2" t="s">
        <x:v>124</x:v>
      </x:c>
      <x:c r="H66" s="2" t="s">
        <x:v>248</x:v>
      </x:c>
      <x:c r="I66" s="2" t="str">
        <x:f>IFERROR(INDEX('Thành viên'!$B$2:$B$4,MATCH(C66,'Thành viên'!$A$2:$A$4,0))&amp;"","")</x:f>
      </x:c>
      <x:c r="J66" s="3">
        <x:v>46295</x:v>
      </x:c>
      <x:c r="K66" s="3">
        <x:v>46299</x:v>
      </x:c>
      <x:c r="L66" s="5" t="s">
        <x:v>19</x:v>
      </x:c>
      <x:c r="M66" s="4" t="s">
        <x:v>84</x:v>
      </x:c>
    </x:row>
    <x:row r="67" ht="39.599998474121094">
      <x:c r="A67" s="2" t="s">
        <x:v>81</x:v>
      </x:c>
      <x:c r="B67" s="2" t="s">
        <x:v>82</x:v>
      </x:c>
      <x:c r="C67" s="2" t="s">
        <x:v>78</x:v>
      </x:c>
      <x:c r="D67" s="2" t="s">
        <x:v>15</x:v>
      </x:c>
      <x:c r="E67" s="2" t="s">
        <x:v>246</x:v>
      </x:c>
      <x:c r="F67" s="2" t="s">
        <x:v>247</x:v>
      </x:c>
      <x:c r="G67" s="2" t="s">
        <x:v>129</x:v>
      </x:c>
      <x:c r="H67" s="2" t="s">
        <x:v>249</x:v>
      </x:c>
      <x:c r="I67" s="2" t="str">
        <x:f>IFERROR(INDEX('Thành viên'!$C$2:$C$4,MATCH(C67,'Thành viên'!$A$2:$A$4,0))&amp;"","")</x:f>
      </x:c>
      <x:c r="J67" s="3">
        <x:v>46295</x:v>
      </x:c>
      <x:c r="K67" s="3">
        <x:v>46299</x:v>
      </x:c>
      <x:c r="L67" s="5" t="s">
        <x:v>19</x:v>
      </x:c>
      <x:c r="M67" s="4" t="s">
        <x:v>84</x:v>
      </x:c>
    </x:row>
    <x:row r="68" ht="26.399999618530273">
      <x:c r="A68" s="2" t="s">
        <x:v>85</x:v>
      </x:c>
      <x:c r="B68" s="2" t="s">
        <x:v>86</x:v>
      </x:c>
      <x:c r="C68" s="2" t="s">
        <x:v>78</x:v>
      </x:c>
      <x:c r="D68" s="2" t="s">
        <x:v>42</x:v>
      </x:c>
      <x:c r="E68" s="2" t="s">
        <x:v>250</x:v>
      </x:c>
      <x:c r="F68" s="2" t="s">
        <x:v>251</x:v>
      </x:c>
      <x:c r="G68" s="2" t="s">
        <x:v>124</x:v>
      </x:c>
      <x:c r="H68" s="2" t="s">
        <x:v>252</x:v>
      </x:c>
      <x:c r="I68" s="2" t="str">
        <x:f>IFERROR(INDEX('Thành viên'!$B$2:$B$4,MATCH(C68,'Thành viên'!$A$2:$A$4,0))&amp;"","")</x:f>
      </x:c>
      <x:c r="J68" s="3">
        <x:v>46300</x:v>
      </x:c>
      <x:c r="K68" s="3">
        <x:v>46301</x:v>
      </x:c>
      <x:c r="L68" s="5" t="s">
        <x:v>19</x:v>
      </x:c>
      <x:c r="M68" s="4" t="s">
        <x:v>88</x:v>
      </x:c>
    </x:row>
    <x:row r="69" ht="26.399999618530273">
      <x:c r="A69" s="2" t="s">
        <x:v>85</x:v>
      </x:c>
      <x:c r="B69" s="2" t="s">
        <x:v>86</x:v>
      </x:c>
      <x:c r="C69" s="2" t="s">
        <x:v>78</x:v>
      </x:c>
      <x:c r="D69" s="2" t="s">
        <x:v>42</x:v>
      </x:c>
      <x:c r="E69" s="2" t="s">
        <x:v>250</x:v>
      </x:c>
      <x:c r="F69" s="2" t="s">
        <x:v>251</x:v>
      </x:c>
      <x:c r="G69" s="2" t="s">
        <x:v>129</x:v>
      </x:c>
      <x:c r="H69" s="2" t="s">
        <x:v>253</x:v>
      </x:c>
      <x:c r="I69" s="2" t="str">
        <x:f>IFERROR(INDEX('Thành viên'!$C$2:$C$4,MATCH(C69,'Thành viên'!$A$2:$A$4,0))&amp;"","")</x:f>
      </x:c>
      <x:c r="J69" s="3">
        <x:v>46300</x:v>
      </x:c>
      <x:c r="K69" s="3">
        <x:v>46301</x:v>
      </x:c>
      <x:c r="L69" s="5" t="s">
        <x:v>19</x:v>
      </x:c>
      <x:c r="M69" s="4" t="s">
        <x:v>88</x:v>
      </x:c>
    </x:row>
    <x:row r="70" ht="26.399999618530273">
      <x:c r="A70" s="2" t="s">
        <x:v>89</x:v>
      </x:c>
      <x:c r="B70" s="2" t="s">
        <x:v>90</x:v>
      </x:c>
      <x:c r="C70" s="2" t="s">
        <x:v>78</x:v>
      </x:c>
      <x:c r="D70" s="2" t="s">
        <x:v>42</x:v>
      </x:c>
      <x:c r="E70" s="2" t="s">
        <x:v>254</x:v>
      </x:c>
      <x:c r="F70" s="2" t="s">
        <x:v>255</x:v>
      </x:c>
      <x:c r="G70" s="2" t="s">
        <x:v>124</x:v>
      </x:c>
      <x:c r="H70" s="2" t="s">
        <x:v>256</x:v>
      </x:c>
      <x:c r="I70" s="2" t="str">
        <x:f>IFERROR(INDEX('Thành viên'!$B$2:$B$4,MATCH(C70,'Thành viên'!$A$2:$A$4,0))&amp;"","")</x:f>
      </x:c>
      <x:c r="J70" s="3">
        <x:v>46301</x:v>
      </x:c>
      <x:c r="K70" s="3">
        <x:v>46304</x:v>
      </x:c>
      <x:c r="L70" s="5" t="s">
        <x:v>19</x:v>
      </x:c>
      <x:c r="M70" s="4" t="s">
        <x:v>92</x:v>
      </x:c>
    </x:row>
    <x:row r="71" ht="39.599998474121094">
      <x:c r="A71" s="2" t="s">
        <x:v>89</x:v>
      </x:c>
      <x:c r="B71" s="2" t="s">
        <x:v>90</x:v>
      </x:c>
      <x:c r="C71" s="2" t="s">
        <x:v>78</x:v>
      </x:c>
      <x:c r="D71" s="2" t="s">
        <x:v>42</x:v>
      </x:c>
      <x:c r="E71" s="2" t="s">
        <x:v>254</x:v>
      </x:c>
      <x:c r="F71" s="2" t="s">
        <x:v>255</x:v>
      </x:c>
      <x:c r="G71" s="2" t="s">
        <x:v>129</x:v>
      </x:c>
      <x:c r="H71" s="2" t="s">
        <x:v>257</x:v>
      </x:c>
      <x:c r="I71" s="2" t="str">
        <x:f>IFERROR(INDEX('Thành viên'!$C$2:$C$4,MATCH(C71,'Thành viên'!$A$2:$A$4,0))&amp;"","")</x:f>
      </x:c>
      <x:c r="J71" s="3">
        <x:v>46301</x:v>
      </x:c>
      <x:c r="K71" s="3">
        <x:v>46304</x:v>
      </x:c>
      <x:c r="L71" s="5" t="s">
        <x:v>19</x:v>
      </x:c>
      <x:c r="M71" s="4" t="s">
        <x:v>92</x:v>
      </x:c>
    </x:row>
    <x:row r="72" ht="39.599998474121094">
      <x:c r="A72" s="2" t="s">
        <x:v>93</x:v>
      </x:c>
      <x:c r="B72" s="2" t="s">
        <x:v>94</x:v>
      </x:c>
      <x:c r="C72" s="2" t="s">
        <x:v>78</x:v>
      </x:c>
      <x:c r="D72" s="2" t="s">
        <x:v>42</x:v>
      </x:c>
      <x:c r="E72" s="2" t="s">
        <x:v>258</x:v>
      </x:c>
      <x:c r="F72" s="2" t="s">
        <x:v>259</x:v>
      </x:c>
      <x:c r="G72" s="2" t="s">
        <x:v>124</x:v>
      </x:c>
      <x:c r="H72" s="2" t="s">
        <x:v>260</x:v>
      </x:c>
      <x:c r="I72" s="2" t="str">
        <x:f>IFERROR(INDEX('Thành viên'!$B$2:$B$4,MATCH(C72,'Thành viên'!$A$2:$A$4,0))&amp;"","")</x:f>
      </x:c>
      <x:c r="J72" s="3">
        <x:v>46304</x:v>
      </x:c>
      <x:c r="K72" s="3">
        <x:v>46306</x:v>
      </x:c>
      <x:c r="L72" s="5" t="s">
        <x:v>19</x:v>
      </x:c>
      <x:c r="M72" s="4" t="s">
        <x:v>96</x:v>
      </x:c>
    </x:row>
    <x:row r="73" ht="39.599998474121094">
      <x:c r="A73" s="2" t="s">
        <x:v>93</x:v>
      </x:c>
      <x:c r="B73" s="2" t="s">
        <x:v>94</x:v>
      </x:c>
      <x:c r="C73" s="2" t="s">
        <x:v>78</x:v>
      </x:c>
      <x:c r="D73" s="2" t="s">
        <x:v>42</x:v>
      </x:c>
      <x:c r="E73" s="2" t="s">
        <x:v>258</x:v>
      </x:c>
      <x:c r="F73" s="2" t="s">
        <x:v>259</x:v>
      </x:c>
      <x:c r="G73" s="2" t="s">
        <x:v>129</x:v>
      </x:c>
      <x:c r="H73" s="2" t="s">
        <x:v>261</x:v>
      </x:c>
      <x:c r="I73" s="2" t="str">
        <x:f>IFERROR(INDEX('Thành viên'!$C$2:$C$4,MATCH(C73,'Thành viên'!$A$2:$A$4,0))&amp;"","")</x:f>
      </x:c>
      <x:c r="J73" s="3">
        <x:v>46304</x:v>
      </x:c>
      <x:c r="K73" s="3">
        <x:v>46306</x:v>
      </x:c>
      <x:c r="L73" s="5" t="s">
        <x:v>19</x:v>
      </x:c>
      <x:c r="M73" s="4" t="s">
        <x:v>96</x:v>
      </x:c>
    </x:row>
    <x:row r="74" ht="39.599998474121094">
      <x:c r="A74" s="2" t="s">
        <x:v>97</x:v>
      </x:c>
      <x:c r="B74" s="2" t="s">
        <x:v>98</x:v>
      </x:c>
      <x:c r="C74" s="2" t="s">
        <x:v>78</x:v>
      </x:c>
      <x:c r="D74" s="2" t="s">
        <x:v>56</x:v>
      </x:c>
      <x:c r="E74" s="2" t="s">
        <x:v>262</x:v>
      </x:c>
      <x:c r="F74" s="2" t="s">
        <x:v>263</x:v>
      </x:c>
      <x:c r="G74" s="2" t="s">
        <x:v>124</x:v>
      </x:c>
      <x:c r="H74" s="2" t="s">
        <x:v>264</x:v>
      </x:c>
      <x:c r="I74" s="2" t="str">
        <x:f>IFERROR(INDEX('Thành viên'!$B$2:$B$4,MATCH(C74,'Thành viên'!$A$2:$A$4,0))&amp;"","")</x:f>
      </x:c>
      <x:c r="J74" s="3">
        <x:v>46307</x:v>
      </x:c>
      <x:c r="K74" s="3">
        <x:v>46309</x:v>
      </x:c>
      <x:c r="L74" s="5" t="s">
        <x:v>19</x:v>
      </x:c>
      <x:c r="M74" s="4" t="s">
        <x:v>100</x:v>
      </x:c>
    </x:row>
    <x:row r="75" ht="26.399999618530273">
      <x:c r="A75" s="2" t="s">
        <x:v>97</x:v>
      </x:c>
      <x:c r="B75" s="2" t="s">
        <x:v>98</x:v>
      </x:c>
      <x:c r="C75" s="2" t="s">
        <x:v>78</x:v>
      </x:c>
      <x:c r="D75" s="2" t="s">
        <x:v>56</x:v>
      </x:c>
      <x:c r="E75" s="2" t="s">
        <x:v>262</x:v>
      </x:c>
      <x:c r="F75" s="2" t="s">
        <x:v>263</x:v>
      </x:c>
      <x:c r="G75" s="2" t="s">
        <x:v>129</x:v>
      </x:c>
      <x:c r="H75" s="2" t="s">
        <x:v>265</x:v>
      </x:c>
      <x:c r="I75" s="2" t="str">
        <x:f>IFERROR(INDEX('Thành viên'!$C$2:$C$4,MATCH(C75,'Thành viên'!$A$2:$A$4,0))&amp;"","")</x:f>
      </x:c>
      <x:c r="J75" s="3">
        <x:v>46307</x:v>
      </x:c>
      <x:c r="K75" s="3">
        <x:v>46309</x:v>
      </x:c>
      <x:c r="L75" s="5" t="s">
        <x:v>19</x:v>
      </x:c>
      <x:c r="M75" s="4" t="s">
        <x:v>100</x:v>
      </x:c>
    </x:row>
    <x:row r="76" ht="26.399999618530273">
      <x:c r="A76" s="2" t="s">
        <x:v>97</x:v>
      </x:c>
      <x:c r="B76" s="2" t="s">
        <x:v>98</x:v>
      </x:c>
      <x:c r="C76" s="2" t="s">
        <x:v>78</x:v>
      </x:c>
      <x:c r="D76" s="2" t="s">
        <x:v>56</x:v>
      </x:c>
      <x:c r="E76" s="2" t="s">
        <x:v>266</x:v>
      </x:c>
      <x:c r="F76" s="2" t="s">
        <x:v>267</x:v>
      </x:c>
      <x:c r="G76" s="2" t="s">
        <x:v>124</x:v>
      </x:c>
      <x:c r="H76" s="2" t="s">
        <x:v>268</x:v>
      </x:c>
      <x:c r="I76" s="2" t="str">
        <x:f>IFERROR(INDEX('Thành viên'!$B$2:$B$4,MATCH(C76,'Thành viên'!$A$2:$A$4,0))&amp;"","")</x:f>
      </x:c>
      <x:c r="J76" s="3">
        <x:v>46307</x:v>
      </x:c>
      <x:c r="K76" s="3">
        <x:v>46309</x:v>
      </x:c>
      <x:c r="L76" s="5" t="s">
        <x:v>19</x:v>
      </x:c>
      <x:c r="M76" s="4" t="s">
        <x:v>100</x:v>
      </x:c>
    </x:row>
    <x:row r="77" ht="26.399999618530273">
      <x:c r="A77" s="2" t="s">
        <x:v>97</x:v>
      </x:c>
      <x:c r="B77" s="2" t="s">
        <x:v>98</x:v>
      </x:c>
      <x:c r="C77" s="2" t="s">
        <x:v>78</x:v>
      </x:c>
      <x:c r="D77" s="2" t="s">
        <x:v>56</x:v>
      </x:c>
      <x:c r="E77" s="2" t="s">
        <x:v>266</x:v>
      </x:c>
      <x:c r="F77" s="2" t="s">
        <x:v>267</x:v>
      </x:c>
      <x:c r="G77" s="2" t="s">
        <x:v>129</x:v>
      </x:c>
      <x:c r="H77" s="2" t="s">
        <x:v>269</x:v>
      </x:c>
      <x:c r="I77" s="2" t="str">
        <x:f>IFERROR(INDEX('Thành viên'!$C$2:$C$4,MATCH(C77,'Thành viên'!$A$2:$A$4,0))&amp;"","")</x:f>
      </x:c>
      <x:c r="J77" s="3">
        <x:v>46307</x:v>
      </x:c>
      <x:c r="K77" s="3">
        <x:v>46309</x:v>
      </x:c>
      <x:c r="L77" s="5" t="s">
        <x:v>19</x:v>
      </x:c>
      <x:c r="M77" s="4" t="s">
        <x:v>100</x:v>
      </x:c>
    </x:row>
    <x:row r="78" ht="26.399999618530273">
      <x:c r="A78" s="2" t="s">
        <x:v>101</x:v>
      </x:c>
      <x:c r="B78" s="2" t="s">
        <x:v>102</x:v>
      </x:c>
      <x:c r="C78" s="2" t="s">
        <x:v>78</x:v>
      </x:c>
      <x:c r="D78" s="2" t="s">
        <x:v>56</x:v>
      </x:c>
      <x:c r="E78" s="2" t="s">
        <x:v>262</x:v>
      </x:c>
      <x:c r="F78" s="2" t="s">
        <x:v>270</x:v>
      </x:c>
      <x:c r="G78" s="2" t="s">
        <x:v>124</x:v>
      </x:c>
      <x:c r="H78" s="2" t="s">
        <x:v>271</x:v>
      </x:c>
      <x:c r="I78" s="2" t="str">
        <x:f>IFERROR(INDEX('Thành viên'!$B$2:$B$4,MATCH(C78,'Thành viên'!$A$2:$A$4,0))&amp;"","")</x:f>
      </x:c>
      <x:c r="J78" s="3">
        <x:v>46309</x:v>
      </x:c>
      <x:c r="K78" s="3">
        <x:v>46310</x:v>
      </x:c>
      <x:c r="L78" s="5" t="s">
        <x:v>19</x:v>
      </x:c>
      <x:c r="M78" s="4" t="s">
        <x:v>104</x:v>
      </x:c>
    </x:row>
    <x:row r="79" ht="26.399999618530273">
      <x:c r="A79" s="2" t="s">
        <x:v>101</x:v>
      </x:c>
      <x:c r="B79" s="2" t="s">
        <x:v>102</x:v>
      </x:c>
      <x:c r="C79" s="2" t="s">
        <x:v>78</x:v>
      </x:c>
      <x:c r="D79" s="2" t="s">
        <x:v>56</x:v>
      </x:c>
      <x:c r="E79" s="2" t="s">
        <x:v>262</x:v>
      </x:c>
      <x:c r="F79" s="2" t="s">
        <x:v>270</x:v>
      </x:c>
      <x:c r="G79" s="2" t="s">
        <x:v>129</x:v>
      </x:c>
      <x:c r="H79" s="2" t="s">
        <x:v>272</x:v>
      </x:c>
      <x:c r="I79" s="2" t="str">
        <x:f>IFERROR(INDEX('Thành viên'!$C$2:$C$4,MATCH(C79,'Thành viên'!$A$2:$A$4,0))&amp;"","")</x:f>
      </x:c>
      <x:c r="J79" s="3">
        <x:v>46309</x:v>
      </x:c>
      <x:c r="K79" s="3">
        <x:v>46310</x:v>
      </x:c>
      <x:c r="L79" s="5" t="s">
        <x:v>19</x:v>
      </x:c>
      <x:c r="M79" s="4" t="s">
        <x:v>104</x:v>
      </x:c>
    </x:row>
    <x:row r="80" ht="26.399999618530273">
      <x:c r="A80" s="2" t="s">
        <x:v>101</x:v>
      </x:c>
      <x:c r="B80" s="2" t="s">
        <x:v>102</x:v>
      </x:c>
      <x:c r="C80" s="2" t="s">
        <x:v>78</x:v>
      </x:c>
      <x:c r="D80" s="2" t="s">
        <x:v>56</x:v>
      </x:c>
      <x:c r="E80" s="2" t="s">
        <x:v>273</x:v>
      </x:c>
      <x:c r="F80" s="2" t="s">
        <x:v>274</x:v>
      </x:c>
      <x:c r="G80" s="2" t="s">
        <x:v>124</x:v>
      </x:c>
      <x:c r="H80" s="2" t="s">
        <x:v>275</x:v>
      </x:c>
      <x:c r="I80" s="2" t="str">
        <x:f>IFERROR(INDEX('Thành viên'!$B$2:$B$4,MATCH(C80,'Thành viên'!$A$2:$A$4,0))&amp;"","")</x:f>
      </x:c>
      <x:c r="J80" s="3">
        <x:v>46309</x:v>
      </x:c>
      <x:c r="K80" s="3">
        <x:v>46310</x:v>
      </x:c>
      <x:c r="L80" s="5" t="s">
        <x:v>19</x:v>
      </x:c>
      <x:c r="M80" s="4" t="s">
        <x:v>104</x:v>
      </x:c>
    </x:row>
    <x:row r="81" ht="26.399999618530273">
      <x:c r="A81" s="2" t="s">
        <x:v>101</x:v>
      </x:c>
      <x:c r="B81" s="2" t="s">
        <x:v>102</x:v>
      </x:c>
      <x:c r="C81" s="2" t="s">
        <x:v>78</x:v>
      </x:c>
      <x:c r="D81" s="2" t="s">
        <x:v>56</x:v>
      </x:c>
      <x:c r="E81" s="2" t="s">
        <x:v>273</x:v>
      </x:c>
      <x:c r="F81" s="2" t="s">
        <x:v>274</x:v>
      </x:c>
      <x:c r="G81" s="2" t="s">
        <x:v>129</x:v>
      </x:c>
      <x:c r="H81" s="2" t="s">
        <x:v>276</x:v>
      </x:c>
      <x:c r="I81" s="2" t="str">
        <x:f>IFERROR(INDEX('Thành viên'!$C$2:$C$4,MATCH(C81,'Thành viên'!$A$2:$A$4,0))&amp;"","")</x:f>
      </x:c>
      <x:c r="J81" s="3">
        <x:v>46309</x:v>
      </x:c>
      <x:c r="K81" s="3">
        <x:v>46310</x:v>
      </x:c>
      <x:c r="L81" s="5" t="s">
        <x:v>19</x:v>
      </x:c>
      <x:c r="M81" s="4" t="s">
        <x:v>104</x:v>
      </x:c>
    </x:row>
    <x:row r="82" ht="26.399999618530273">
      <x:c r="A82" s="2" t="s">
        <x:v>105</x:v>
      </x:c>
      <x:c r="B82" s="2" t="s">
        <x:v>106</x:v>
      </x:c>
      <x:c r="C82" s="2" t="s">
        <x:v>78</x:v>
      </x:c>
      <x:c r="D82" s="2" t="s">
        <x:v>56</x:v>
      </x:c>
      <x:c r="E82" s="2" t="s">
        <x:v>277</x:v>
      </x:c>
      <x:c r="F82" s="2" t="s">
        <x:v>278</x:v>
      </x:c>
      <x:c r="G82" s="2" t="s">
        <x:v>124</x:v>
      </x:c>
      <x:c r="H82" s="2" t="s">
        <x:v>279</x:v>
      </x:c>
      <x:c r="I82" s="2" t="str">
        <x:f>IFERROR(INDEX('Thành viên'!$B$2:$B$4,MATCH(C82,'Thành viên'!$A$2:$A$4,0))&amp;"","")</x:f>
      </x:c>
      <x:c r="J82" s="3">
        <x:v>46310</x:v>
      </x:c>
      <x:c r="K82" s="3">
        <x:v>46311</x:v>
      </x:c>
      <x:c r="L82" s="5" t="s">
        <x:v>19</x:v>
      </x:c>
      <x:c r="M82" s="4" t="s">
        <x:v>108</x:v>
      </x:c>
    </x:row>
    <x:row r="83" ht="26.399999618530273">
      <x:c r="A83" s="2" t="s">
        <x:v>105</x:v>
      </x:c>
      <x:c r="B83" s="2" t="s">
        <x:v>106</x:v>
      </x:c>
      <x:c r="C83" s="2" t="s">
        <x:v>78</x:v>
      </x:c>
      <x:c r="D83" s="2" t="s">
        <x:v>56</x:v>
      </x:c>
      <x:c r="E83" s="2" t="s">
        <x:v>277</x:v>
      </x:c>
      <x:c r="F83" s="2" t="s">
        <x:v>278</x:v>
      </x:c>
      <x:c r="G83" s="2" t="s">
        <x:v>129</x:v>
      </x:c>
      <x:c r="H83" s="2" t="s">
        <x:v>280</x:v>
      </x:c>
      <x:c r="I83" s="2" t="str">
        <x:f>IFERROR(INDEX('Thành viên'!$C$2:$C$4,MATCH(C83,'Thành viên'!$A$2:$A$4,0))&amp;"","")</x:f>
      </x:c>
      <x:c r="J83" s="3">
        <x:v>46310</x:v>
      </x:c>
      <x:c r="K83" s="3">
        <x:v>46311</x:v>
      </x:c>
      <x:c r="L83" s="5" t="s">
        <x:v>19</x:v>
      </x:c>
      <x:c r="M83" s="4" t="s">
        <x:v>108</x:v>
      </x:c>
    </x:row>
    <x:row r="84" ht="26.399999618530273">
      <x:c r="A84" s="2" t="s">
        <x:v>109</x:v>
      </x:c>
      <x:c r="B84" s="2" t="s">
        <x:v>110</x:v>
      </x:c>
      <x:c r="C84" s="2" t="s">
        <x:v>78</x:v>
      </x:c>
      <x:c r="D84" s="2" t="s">
        <x:v>56</x:v>
      </x:c>
      <x:c r="E84" s="2" t="s">
        <x:v>281</x:v>
      </x:c>
      <x:c r="F84" s="2" t="s">
        <x:v>282</x:v>
      </x:c>
      <x:c r="G84" s="2" t="s">
        <x:v>124</x:v>
      </x:c>
      <x:c r="H84" s="2" t="s">
        <x:v>283</x:v>
      </x:c>
      <x:c r="I84" s="2" t="str">
        <x:f>IFERROR(INDEX('Thành viên'!$B$2:$B$4,MATCH(C84,'Thành viên'!$A$2:$A$4,0))&amp;"","")</x:f>
      </x:c>
      <x:c r="J84" s="3">
        <x:v>46312</x:v>
      </x:c>
      <x:c r="K84" s="3">
        <x:v>46313</x:v>
      </x:c>
      <x:c r="L84" s="5" t="s">
        <x:v>19</x:v>
      </x:c>
      <x:c r="M84" s="4" t="s">
        <x:v>112</x:v>
      </x:c>
    </x:row>
    <x:row r="85" ht="39.599998474121094">
      <x:c r="A85" s="2" t="s">
        <x:v>109</x:v>
      </x:c>
      <x:c r="B85" s="2" t="s">
        <x:v>110</x:v>
      </x:c>
      <x:c r="C85" s="2" t="s">
        <x:v>78</x:v>
      </x:c>
      <x:c r="D85" s="2" t="s">
        <x:v>56</x:v>
      </x:c>
      <x:c r="E85" s="2" t="s">
        <x:v>281</x:v>
      </x:c>
      <x:c r="F85" s="2" t="s">
        <x:v>282</x:v>
      </x:c>
      <x:c r="G85" s="2" t="s">
        <x:v>129</x:v>
      </x:c>
      <x:c r="H85" s="2" t="s">
        <x:v>284</x:v>
      </x:c>
      <x:c r="I85" s="2" t="str">
        <x:f>IFERROR(INDEX('Thành viên'!$C$2:$C$4,MATCH(C85,'Thành viên'!$A$2:$A$4,0))&amp;"","")</x:f>
      </x:c>
      <x:c r="J85" s="3">
        <x:v>46312</x:v>
      </x:c>
      <x:c r="K85" s="3">
        <x:v>46313</x:v>
      </x:c>
      <x:c r="L85" s="5" t="s">
        <x:v>19</x:v>
      </x:c>
      <x:c r="M85" s="4" t="s">
        <x:v>112</x:v>
      </x:c>
    </x:row>
    <x:row r="86" ht="26.399999618530273">
      <x:c r="A86" s="2" t="s">
        <x:v>109</x:v>
      </x:c>
      <x:c r="B86" s="2" t="s">
        <x:v>110</x:v>
      </x:c>
      <x:c r="C86" s="2" t="s">
        <x:v>78</x:v>
      </x:c>
      <x:c r="D86" s="2" t="s">
        <x:v>56</x:v>
      </x:c>
      <x:c r="E86" s="2" t="s">
        <x:v>285</x:v>
      </x:c>
      <x:c r="F86" s="2" t="s">
        <x:v>286</x:v>
      </x:c>
      <x:c r="G86" s="2" t="s">
        <x:v>124</x:v>
      </x:c>
      <x:c r="H86" s="2" t="s">
        <x:v>287</x:v>
      </x:c>
      <x:c r="I86" s="2" t="str">
        <x:f>IFERROR(INDEX('Thành viên'!$B$2:$B$4,MATCH(C86,'Thành viên'!$A$2:$A$4,0))&amp;"","")</x:f>
      </x:c>
      <x:c r="J86" s="3">
        <x:v>46312</x:v>
      </x:c>
      <x:c r="K86" s="3">
        <x:v>46313</x:v>
      </x:c>
      <x:c r="L86" s="5" t="s">
        <x:v>19</x:v>
      </x:c>
      <x:c r="M86" s="4" t="s">
        <x:v>112</x:v>
      </x:c>
    </x:row>
    <x:row r="87" ht="26.399999618530273">
      <x:c r="A87" s="2" t="s">
        <x:v>109</x:v>
      </x:c>
      <x:c r="B87" s="2" t="s">
        <x:v>110</x:v>
      </x:c>
      <x:c r="C87" s="2" t="s">
        <x:v>78</x:v>
      </x:c>
      <x:c r="D87" s="2" t="s">
        <x:v>56</x:v>
      </x:c>
      <x:c r="E87" s="2" t="s">
        <x:v>285</x:v>
      </x:c>
      <x:c r="F87" s="2" t="s">
        <x:v>286</x:v>
      </x:c>
      <x:c r="G87" s="2" t="s">
        <x:v>129</x:v>
      </x:c>
      <x:c r="H87" s="2" t="s">
        <x:v>288</x:v>
      </x:c>
      <x:c r="I87" s="2" t="str">
        <x:f>IFERROR(INDEX('Thành viên'!$C$2:$C$4,MATCH(C87,'Thành viên'!$A$2:$A$4,0))&amp;"","")</x:f>
      </x:c>
      <x:c r="J87" s="3">
        <x:v>46312</x:v>
      </x:c>
      <x:c r="K87" s="3">
        <x:v>46313</x:v>
      </x:c>
      <x:c r="L87" s="5" t="s">
        <x:v>19</x:v>
      </x:c>
      <x:c r="M87" s="4" t="s">
        <x:v>112</x:v>
      </x:c>
    </x:row>
    <x:row r="88" ht="52.79999923706055">
      <x:c r="A88" s="2" t="s">
        <x:v>113</x:v>
      </x:c>
      <x:c r="B88" s="2" t="s">
        <x:v>114</x:v>
      </x:c>
      <x:c r="C88" s="2" t="s">
        <x:v>14</x:v>
      </x:c>
      <x:c r="D88" s="2" t="s">
        <x:v>56</x:v>
      </x:c>
      <x:c r="E88" s="2" t="s">
        <x:v>289</x:v>
      </x:c>
      <x:c r="F88" s="2" t="s">
        <x:v>290</x:v>
      </x:c>
      <x:c r="G88" s="2" t="s">
        <x:v>124</x:v>
      </x:c>
      <x:c r="H88" s="2" t="s">
        <x:v>291</x:v>
      </x:c>
      <x:c r="I88" s="2" t="str">
        <x:f>IFERROR(INDEX('Thành viên'!$B$2:$B$4,MATCH(C88,'Thành viên'!$A$2:$A$4,0))&amp;"","")</x:f>
        <x:v>Cả 2 FE</x:v>
      </x:c>
      <x:c r="J88" s="3">
        <x:v>46307</x:v>
      </x:c>
      <x:c r="K88" s="3">
        <x:v>46313</x:v>
      </x:c>
      <x:c r="L88" s="5" t="s">
        <x:v>19</x:v>
      </x:c>
      <x:c r="M88" s="4" t="s">
        <x:v>116</x:v>
      </x:c>
    </x:row>
    <x:row r="89" ht="52.79999923706055">
      <x:c r="A89" s="2" t="s">
        <x:v>113</x:v>
      </x:c>
      <x:c r="B89" s="2" t="s">
        <x:v>114</x:v>
      </x:c>
      <x:c r="C89" s="2" t="s">
        <x:v>14</x:v>
      </x:c>
      <x:c r="D89" s="2" t="s">
        <x:v>56</x:v>
      </x:c>
      <x:c r="E89" s="2" t="s">
        <x:v>289</x:v>
      </x:c>
      <x:c r="F89" s="2" t="s">
        <x:v>290</x:v>
      </x:c>
      <x:c r="G89" s="2" t="s">
        <x:v>129</x:v>
      </x:c>
      <x:c r="H89" s="2" t="s">
        <x:v>292</x:v>
      </x:c>
      <x:c r="I89" s="2" t="str">
        <x:f>IFERROR(INDEX('Thành viên'!$C$2:$C$4,MATCH(C89,'Thành viên'!$A$2:$A$4,0))&amp;"","")</x:f>
        <x:v>Cả 2 BE</x:v>
      </x:c>
      <x:c r="J89" s="3">
        <x:v>46307</x:v>
      </x:c>
      <x:c r="K89" s="3">
        <x:v>46313</x:v>
      </x:c>
      <x:c r="L89" s="5" t="s">
        <x:v>19</x:v>
      </x:c>
      <x:c r="M89" s="4" t="s">
        <x:v>116</x:v>
      </x:c>
    </x:row>
    <x:row r="91">
      <x:c r="A91" s="6" t="s">
        <x:v>293</x:v>
      </x:c>
    </x:row>
  </x:sheetData>
  <x:dataValidations count="1">
    <x:dataValidation type="list" sqref="L2:L89">
      <x:formula1>"Todo,In Progress,Done"</x:formula1>
    </x:dataValidation>
  </x:dataValidations>
  <x:hyperlinks>
    <x:hyperlink xmlns:r="http://schemas.openxmlformats.org/officeDocument/2006/relationships" ref="M2" r:id="Rf68358c4aaf641de"/>
    <x:hyperlink xmlns:r="http://schemas.openxmlformats.org/officeDocument/2006/relationships" ref="M3" r:id="Reb3e877a5185404b"/>
    <x:hyperlink xmlns:r="http://schemas.openxmlformats.org/officeDocument/2006/relationships" ref="M4" r:id="R28dafdb64fa941a0"/>
    <x:hyperlink xmlns:r="http://schemas.openxmlformats.org/officeDocument/2006/relationships" ref="M5" r:id="R11d775105977477d"/>
    <x:hyperlink xmlns:r="http://schemas.openxmlformats.org/officeDocument/2006/relationships" ref="M6" r:id="Rcd6842afbad04998"/>
    <x:hyperlink xmlns:r="http://schemas.openxmlformats.org/officeDocument/2006/relationships" ref="M7" r:id="Rfb012be3569f428e"/>
    <x:hyperlink xmlns:r="http://schemas.openxmlformats.org/officeDocument/2006/relationships" ref="M8" r:id="R36158cb6845f4b39"/>
    <x:hyperlink xmlns:r="http://schemas.openxmlformats.org/officeDocument/2006/relationships" ref="M9" r:id="R563982ba3f7d4cdb"/>
    <x:hyperlink xmlns:r="http://schemas.openxmlformats.org/officeDocument/2006/relationships" ref="M10" r:id="Rf678ee5013254546"/>
    <x:hyperlink xmlns:r="http://schemas.openxmlformats.org/officeDocument/2006/relationships" ref="M11" r:id="R81d252f2b0fb4043"/>
    <x:hyperlink xmlns:r="http://schemas.openxmlformats.org/officeDocument/2006/relationships" ref="M12" r:id="R4f792acc2d7a4d40"/>
    <x:hyperlink xmlns:r="http://schemas.openxmlformats.org/officeDocument/2006/relationships" ref="M13" r:id="Re6b0d3e9571e4d57"/>
    <x:hyperlink xmlns:r="http://schemas.openxmlformats.org/officeDocument/2006/relationships" ref="M14" r:id="Rfc0a77b529c54a4a"/>
    <x:hyperlink xmlns:r="http://schemas.openxmlformats.org/officeDocument/2006/relationships" ref="M15" r:id="R2962a4de67d04a2e"/>
    <x:hyperlink xmlns:r="http://schemas.openxmlformats.org/officeDocument/2006/relationships" ref="M16" r:id="Rca5ec3154e354261"/>
    <x:hyperlink xmlns:r="http://schemas.openxmlformats.org/officeDocument/2006/relationships" ref="M17" r:id="R80aedcbbaacf41e0"/>
    <x:hyperlink xmlns:r="http://schemas.openxmlformats.org/officeDocument/2006/relationships" ref="M18" r:id="R7a365ac4793640e1"/>
    <x:hyperlink xmlns:r="http://schemas.openxmlformats.org/officeDocument/2006/relationships" ref="M19" r:id="R3f02387a70c64e53"/>
    <x:hyperlink xmlns:r="http://schemas.openxmlformats.org/officeDocument/2006/relationships" ref="M20" r:id="Rb46f1ca1edb44f1f"/>
    <x:hyperlink xmlns:r="http://schemas.openxmlformats.org/officeDocument/2006/relationships" ref="M21" r:id="R23b5cb671f3d4bc3"/>
    <x:hyperlink xmlns:r="http://schemas.openxmlformats.org/officeDocument/2006/relationships" ref="M22" r:id="Rab6f9133978447c0"/>
    <x:hyperlink xmlns:r="http://schemas.openxmlformats.org/officeDocument/2006/relationships" ref="M23" r:id="Rb8b6edadbc9b49d4"/>
    <x:hyperlink xmlns:r="http://schemas.openxmlformats.org/officeDocument/2006/relationships" ref="M24" r:id="R5b6cc94c48a047bb"/>
    <x:hyperlink xmlns:r="http://schemas.openxmlformats.org/officeDocument/2006/relationships" ref="M25" r:id="Rc55aa529cc5f41c5"/>
    <x:hyperlink xmlns:r="http://schemas.openxmlformats.org/officeDocument/2006/relationships" ref="M26" r:id="R97ff0a2386084199"/>
    <x:hyperlink xmlns:r="http://schemas.openxmlformats.org/officeDocument/2006/relationships" ref="M27" r:id="Rfaca7ef1e3c9442e"/>
    <x:hyperlink xmlns:r="http://schemas.openxmlformats.org/officeDocument/2006/relationships" ref="M28" r:id="R4580688bae204851"/>
    <x:hyperlink xmlns:r="http://schemas.openxmlformats.org/officeDocument/2006/relationships" ref="M29" r:id="R58ab5b4fb7ad4348"/>
    <x:hyperlink xmlns:r="http://schemas.openxmlformats.org/officeDocument/2006/relationships" ref="M30" r:id="R193a61d6dc754262"/>
    <x:hyperlink xmlns:r="http://schemas.openxmlformats.org/officeDocument/2006/relationships" ref="M31" r:id="R0bcb53a5dd774098"/>
    <x:hyperlink xmlns:r="http://schemas.openxmlformats.org/officeDocument/2006/relationships" ref="M32" r:id="R703e38df6ca64326"/>
    <x:hyperlink xmlns:r="http://schemas.openxmlformats.org/officeDocument/2006/relationships" ref="M33" r:id="Rb8757deaf8bb421e"/>
    <x:hyperlink xmlns:r="http://schemas.openxmlformats.org/officeDocument/2006/relationships" ref="M34" r:id="R587750dc53ef42ba"/>
    <x:hyperlink xmlns:r="http://schemas.openxmlformats.org/officeDocument/2006/relationships" ref="M35" r:id="R01259f404d7c449e"/>
    <x:hyperlink xmlns:r="http://schemas.openxmlformats.org/officeDocument/2006/relationships" ref="M36" r:id="R1b09cdc9b3bf48dc"/>
    <x:hyperlink xmlns:r="http://schemas.openxmlformats.org/officeDocument/2006/relationships" ref="M37" r:id="R40d0f5fefb2c426a"/>
    <x:hyperlink xmlns:r="http://schemas.openxmlformats.org/officeDocument/2006/relationships" ref="M38" r:id="R6d2d38644b1e426d"/>
    <x:hyperlink xmlns:r="http://schemas.openxmlformats.org/officeDocument/2006/relationships" ref="M39" r:id="R4341aea174d14e55"/>
    <x:hyperlink xmlns:r="http://schemas.openxmlformats.org/officeDocument/2006/relationships" ref="M40" r:id="R98d2694978924f08"/>
    <x:hyperlink xmlns:r="http://schemas.openxmlformats.org/officeDocument/2006/relationships" ref="M41" r:id="Rbc3f219a496642d8"/>
    <x:hyperlink xmlns:r="http://schemas.openxmlformats.org/officeDocument/2006/relationships" ref="M42" r:id="R247abe4d487f4497"/>
    <x:hyperlink xmlns:r="http://schemas.openxmlformats.org/officeDocument/2006/relationships" ref="M43" r:id="Rf3e1d78262f64b37"/>
    <x:hyperlink xmlns:r="http://schemas.openxmlformats.org/officeDocument/2006/relationships" ref="M44" r:id="R670f00683b5540e6"/>
    <x:hyperlink xmlns:r="http://schemas.openxmlformats.org/officeDocument/2006/relationships" ref="M45" r:id="R2fb5e418060740a8"/>
    <x:hyperlink xmlns:r="http://schemas.openxmlformats.org/officeDocument/2006/relationships" ref="M46" r:id="Re36ee16f2de541d5"/>
    <x:hyperlink xmlns:r="http://schemas.openxmlformats.org/officeDocument/2006/relationships" ref="M47" r:id="R6df056304ac5426a"/>
    <x:hyperlink xmlns:r="http://schemas.openxmlformats.org/officeDocument/2006/relationships" ref="M48" r:id="R3899f2be3c914a92"/>
    <x:hyperlink xmlns:r="http://schemas.openxmlformats.org/officeDocument/2006/relationships" ref="M49" r:id="Rdb76641b5a2245ab"/>
    <x:hyperlink xmlns:r="http://schemas.openxmlformats.org/officeDocument/2006/relationships" ref="M50" r:id="R54f6ae34a6c345e1"/>
    <x:hyperlink xmlns:r="http://schemas.openxmlformats.org/officeDocument/2006/relationships" ref="M51" r:id="R96813d3504e84c18"/>
    <x:hyperlink xmlns:r="http://schemas.openxmlformats.org/officeDocument/2006/relationships" ref="M52" r:id="Rf357278a4ad24222"/>
    <x:hyperlink xmlns:r="http://schemas.openxmlformats.org/officeDocument/2006/relationships" ref="M53" r:id="Rab403abf5a414b0c"/>
    <x:hyperlink xmlns:r="http://schemas.openxmlformats.org/officeDocument/2006/relationships" ref="M54" r:id="R11fd95f9eadb4585"/>
    <x:hyperlink xmlns:r="http://schemas.openxmlformats.org/officeDocument/2006/relationships" ref="M55" r:id="R54a7e8d425c0485c"/>
    <x:hyperlink xmlns:r="http://schemas.openxmlformats.org/officeDocument/2006/relationships" ref="M56" r:id="R70d34b8234bc4f66"/>
    <x:hyperlink xmlns:r="http://schemas.openxmlformats.org/officeDocument/2006/relationships" ref="M57" r:id="Rcd3bc24882e2495c"/>
    <x:hyperlink xmlns:r="http://schemas.openxmlformats.org/officeDocument/2006/relationships" ref="M58" r:id="Ra5e97dd8355e4ae5"/>
    <x:hyperlink xmlns:r="http://schemas.openxmlformats.org/officeDocument/2006/relationships" ref="M59" r:id="Ra00515ec799547ab"/>
    <x:hyperlink xmlns:r="http://schemas.openxmlformats.org/officeDocument/2006/relationships" ref="M60" r:id="Rd889aa660bf24376"/>
    <x:hyperlink xmlns:r="http://schemas.openxmlformats.org/officeDocument/2006/relationships" ref="M61" r:id="R9ac65bca4e514568"/>
    <x:hyperlink xmlns:r="http://schemas.openxmlformats.org/officeDocument/2006/relationships" ref="M62" r:id="Ree78fc0e8c69499e"/>
    <x:hyperlink xmlns:r="http://schemas.openxmlformats.org/officeDocument/2006/relationships" ref="M63" r:id="R4c726c2035a04ef2"/>
    <x:hyperlink xmlns:r="http://schemas.openxmlformats.org/officeDocument/2006/relationships" ref="M64" r:id="R4084c614b4504c7d"/>
    <x:hyperlink xmlns:r="http://schemas.openxmlformats.org/officeDocument/2006/relationships" ref="M65" r:id="Rb7a8172123cb4b96"/>
    <x:hyperlink xmlns:r="http://schemas.openxmlformats.org/officeDocument/2006/relationships" ref="M66" r:id="R6b26eae7b7b84600"/>
    <x:hyperlink xmlns:r="http://schemas.openxmlformats.org/officeDocument/2006/relationships" ref="M67" r:id="R327634e608b44013"/>
    <x:hyperlink xmlns:r="http://schemas.openxmlformats.org/officeDocument/2006/relationships" ref="M68" r:id="R4e6f182af09e4ac8"/>
    <x:hyperlink xmlns:r="http://schemas.openxmlformats.org/officeDocument/2006/relationships" ref="M69" r:id="Ra972b28d2b584efa"/>
    <x:hyperlink xmlns:r="http://schemas.openxmlformats.org/officeDocument/2006/relationships" ref="M70" r:id="R6226dc36cb0a4ace"/>
    <x:hyperlink xmlns:r="http://schemas.openxmlformats.org/officeDocument/2006/relationships" ref="M71" r:id="Rc55cdf0e69a741bd"/>
    <x:hyperlink xmlns:r="http://schemas.openxmlformats.org/officeDocument/2006/relationships" ref="M72" r:id="Rbbc6d125823247f1"/>
    <x:hyperlink xmlns:r="http://schemas.openxmlformats.org/officeDocument/2006/relationships" ref="M73" r:id="R55d9f417ae744819"/>
    <x:hyperlink xmlns:r="http://schemas.openxmlformats.org/officeDocument/2006/relationships" ref="M74" r:id="R4dd913ceb58245ae"/>
    <x:hyperlink xmlns:r="http://schemas.openxmlformats.org/officeDocument/2006/relationships" ref="M75" r:id="Rdb609e0945d84cf3"/>
    <x:hyperlink xmlns:r="http://schemas.openxmlformats.org/officeDocument/2006/relationships" ref="M76" r:id="R1719fd4e89344e61"/>
    <x:hyperlink xmlns:r="http://schemas.openxmlformats.org/officeDocument/2006/relationships" ref="M77" r:id="R2cc4d67cfb704c5f"/>
    <x:hyperlink xmlns:r="http://schemas.openxmlformats.org/officeDocument/2006/relationships" ref="M78" r:id="R978dbaee0f17462d"/>
    <x:hyperlink xmlns:r="http://schemas.openxmlformats.org/officeDocument/2006/relationships" ref="M79" r:id="R67ca6700739645b4"/>
    <x:hyperlink xmlns:r="http://schemas.openxmlformats.org/officeDocument/2006/relationships" ref="M80" r:id="R2c565bb240a34be0"/>
    <x:hyperlink xmlns:r="http://schemas.openxmlformats.org/officeDocument/2006/relationships" ref="M81" r:id="Rabfdd20be0ce493e"/>
    <x:hyperlink xmlns:r="http://schemas.openxmlformats.org/officeDocument/2006/relationships" ref="M82" r:id="R09822b346e164048"/>
    <x:hyperlink xmlns:r="http://schemas.openxmlformats.org/officeDocument/2006/relationships" ref="M83" r:id="R88eb2b51d393448f"/>
    <x:hyperlink xmlns:r="http://schemas.openxmlformats.org/officeDocument/2006/relationships" ref="M84" r:id="R1dd1c8c801844525"/>
    <x:hyperlink xmlns:r="http://schemas.openxmlformats.org/officeDocument/2006/relationships" ref="M85" r:id="R71dc59d9fa934b2f"/>
    <x:hyperlink xmlns:r="http://schemas.openxmlformats.org/officeDocument/2006/relationships" ref="M86" r:id="Rd99a077661724bfc"/>
    <x:hyperlink xmlns:r="http://schemas.openxmlformats.org/officeDocument/2006/relationships" ref="M87" r:id="Rae61d1d375334e41"/>
    <x:hyperlink xmlns:r="http://schemas.openxmlformats.org/officeDocument/2006/relationships" ref="M88" r:id="R7aea730b73ee412f"/>
    <x:hyperlink xmlns:r="http://schemas.openxmlformats.org/officeDocument/2006/relationships" ref="M89" r:id="R45594bd93a9641e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12" customWidth="1"/>
    <x:col min="2" max="5" width="10" customWidth="1"/>
  </x:cols>
  <x:sheetData>
    <x:row r="1">
      <x:c r="A1" s="1" t="s">
        <x:v>5</x:v>
      </x:c>
      <x:c r="B1" s="1" t="s">
        <x:v>2</x:v>
      </x:c>
      <x:c r="C1" s="1" t="s">
        <x:v>294</x:v>
      </x:c>
      <x:c r="D1" s="1" t="s">
        <x:v>295</x:v>
      </x:c>
      <x:c r="E1" s="1" t="s">
        <x:v>296</x:v>
      </x:c>
    </x:row>
    <x:row r="2">
      <x:c r="A2" s="2" t="s">
        <x:v>15</x:v>
      </x:c>
      <x:c r="B2" s="2" t="s">
        <x:v>22</x:v>
      </x:c>
      <x:c r="C2" s="2" t="n">
        <x:f>COUNTIFS('Phân công'!$F$2:$F$26,A2,'Phân công'!$C$2:$C$26,B2)</x:f>
        <x:v>6</x:v>
      </x:c>
      <x:c r="D2" s="2" t="n">
        <x:f>COUNTIFS('Phân công'!$F$2:$F$26,A2,'Phân công'!$C$2:$C$26,B2,'Phân công'!$L$2:$L$26,"Done")</x:f>
        <x:v>0</x:v>
      </x:c>
      <x:c r="E2" s="7" t="n">
        <x:f t="shared" ref="E2:E11" si="0">IF(C2=0,"-",D2/C2)</x:f>
        <x:v>0</x:v>
      </x:c>
    </x:row>
    <x:row r="3">
      <x:c r="A3" s="2" t="s">
        <x:v>15</x:v>
      </x:c>
      <x:c r="B3" s="2" t="s">
        <x:v>78</x:v>
      </x:c>
      <x:c r="C3" s="2" t="n">
        <x:f>COUNTIFS('Phân công'!$F$2:$F$26,A3,'Phân công'!$C$2:$C$26,B3)</x:f>
        <x:v>2</x:v>
      </x:c>
      <x:c r="D3" s="2" t="n">
        <x:f>COUNTIFS('Phân công'!$F$2:$F$26,A3,'Phân công'!$C$2:$C$26,B3,'Phân công'!$L$2:$L$26,"Done")</x:f>
        <x:v>0</x:v>
      </x:c>
      <x:c r="E3" s="7">
        <x:f t="shared" si="0"/>
        <x:v>0</x:v>
      </x:c>
    </x:row>
    <x:row r="4">
      <x:c r="A4" s="2" t="s">
        <x:v>15</x:v>
      </x:c>
      <x:c r="B4" s="2" t="s">
        <x:v>14</x:v>
      </x:c>
      <x:c r="C4" s="2" t="n">
        <x:f>COUNTIFS('Phân công'!$F$2:$F$26,A4,'Phân công'!$C$2:$C$26,B4)</x:f>
        <x:v>1</x:v>
      </x:c>
      <x:c r="D4" s="2" t="n">
        <x:f>COUNTIFS('Phân công'!$F$2:$F$26,A4,'Phân công'!$C$2:$C$26,B4,'Phân công'!$L$2:$L$26,"Done")</x:f>
        <x:v>0</x:v>
      </x:c>
      <x:c r="E4" s="7">
        <x:f t="shared" si="0"/>
        <x:v>0</x:v>
      </x:c>
    </x:row>
    <x:row r="5">
      <x:c r="A5" s="2" t="s">
        <x:v>42</x:v>
      </x:c>
      <x:c r="B5" s="2" t="s">
        <x:v>22</x:v>
      </x:c>
      <x:c r="C5" s="2" t="n">
        <x:f>COUNTIFS('Phân công'!$F$2:$F$26,A5,'Phân công'!$C$2:$C$26,B5)</x:f>
        <x:v>3</x:v>
      </x:c>
      <x:c r="D5" s="2" t="n">
        <x:f>COUNTIFS('Phân công'!$F$2:$F$26,A5,'Phân công'!$C$2:$C$26,B5,'Phân công'!$L$2:$L$26,"Done")</x:f>
        <x:v>0</x:v>
      </x:c>
      <x:c r="E5" s="7">
        <x:f t="shared" si="0"/>
        <x:v>0</x:v>
      </x:c>
    </x:row>
    <x:row r="6">
      <x:c r="A6" s="2" t="s">
        <x:v>42</x:v>
      </x:c>
      <x:c r="B6" s="2" t="s">
        <x:v>78</x:v>
      </x:c>
      <x:c r="C6" s="2" t="n">
        <x:f>COUNTIFS('Phân công'!$F$2:$F$26,A6,'Phân công'!$C$2:$C$26,B6)</x:f>
        <x:v>3</x:v>
      </x:c>
      <x:c r="D6" s="2" t="n">
        <x:f>COUNTIFS('Phân công'!$F$2:$F$26,A6,'Phân công'!$C$2:$C$26,B6,'Phân công'!$L$2:$L$26,"Done")</x:f>
        <x:v>0</x:v>
      </x:c>
      <x:c r="E6" s="7">
        <x:f t="shared" si="0"/>
        <x:v>0</x:v>
      </x:c>
    </x:row>
    <x:row r="7">
      <x:c r="A7" s="2" t="s">
        <x:v>42</x:v>
      </x:c>
      <x:c r="B7" s="2" t="s">
        <x:v>14</x:v>
      </x:c>
      <x:c r="C7" s="2" t="n">
        <x:f>COUNTIFS('Phân công'!$F$2:$F$26,A7,'Phân công'!$C$2:$C$26,B7)</x:f>
        <x:v>0</x:v>
      </x:c>
      <x:c r="D7" s="2" t="n">
        <x:f>COUNTIFS('Phân công'!$F$2:$F$26,A7,'Phân công'!$C$2:$C$26,B7,'Phân công'!$L$2:$L$26,"Done")</x:f>
        <x:v>0</x:v>
      </x:c>
      <x:c r="E7" s="7" t="str">
        <x:f t="shared" si="0"/>
        <x:v>-</x:v>
      </x:c>
    </x:row>
    <x:row r="8">
      <x:c r="A8" s="2" t="s">
        <x:v>56</x:v>
      </x:c>
      <x:c r="B8" s="2" t="s">
        <x:v>22</x:v>
      </x:c>
      <x:c r="C8" s="2" t="n">
        <x:f>COUNTIFS('Phân công'!$F$2:$F$26,A8,'Phân công'!$C$2:$C$26,B8)</x:f>
        <x:v>5</x:v>
      </x:c>
      <x:c r="D8" s="2" t="n">
        <x:f>COUNTIFS('Phân công'!$F$2:$F$26,A8,'Phân công'!$C$2:$C$26,B8,'Phân công'!$L$2:$L$26,"Done")</x:f>
        <x:v>0</x:v>
      </x:c>
      <x:c r="E8" s="7">
        <x:f t="shared" si="0"/>
        <x:v>0</x:v>
      </x:c>
    </x:row>
    <x:row r="9">
      <x:c r="A9" s="2" t="s">
        <x:v>56</x:v>
      </x:c>
      <x:c r="B9" s="2" t="s">
        <x:v>78</x:v>
      </x:c>
      <x:c r="C9" s="2" t="n">
        <x:f>COUNTIFS('Phân công'!$F$2:$F$26,A9,'Phân công'!$C$2:$C$26,B9)</x:f>
        <x:v>4</x:v>
      </x:c>
      <x:c r="D9" s="2" t="n">
        <x:f>COUNTIFS('Phân công'!$F$2:$F$26,A9,'Phân công'!$C$2:$C$26,B9,'Phân công'!$L$2:$L$26,"Done")</x:f>
        <x:v>0</x:v>
      </x:c>
      <x:c r="E9" s="7">
        <x:f t="shared" si="0"/>
        <x:v>0</x:v>
      </x:c>
    </x:row>
    <x:row r="10">
      <x:c r="A10" s="2" t="s">
        <x:v>56</x:v>
      </x:c>
      <x:c r="B10" s="2" t="s">
        <x:v>14</x:v>
      </x:c>
      <x:c r="C10" s="2" t="n">
        <x:f>COUNTIFS('Phân công'!$F$2:$F$26,A10,'Phân công'!$C$2:$C$26,B10)</x:f>
        <x:v>1</x:v>
      </x:c>
      <x:c r="D10" s="2" t="n">
        <x:f>COUNTIFS('Phân công'!$F$2:$F$26,A10,'Phân công'!$C$2:$C$26,B10,'Phân công'!$L$2:$L$26,"Done")</x:f>
        <x:v>0</x:v>
      </x:c>
      <x:c r="E10" s="7">
        <x:f t="shared" si="0"/>
        <x:v>0</x:v>
      </x:c>
    </x:row>
    <x:row r="11">
      <x:c r="A11" s="8" t="s">
        <x:v>297</x:v>
      </x:c>
      <x:c r="B11" s="8" t="s">
        <x:v>298</x:v>
      </x:c>
      <x:c r="C11" s="8" t="n">
        <x:f>SUM(C2:C10)</x:f>
        <x:v>25</x:v>
      </x:c>
      <x:c r="D11" s="8" t="n">
        <x:f>SUM(D2:D10)</x:f>
        <x:v>0</x:v>
      </x:c>
      <x:c r="E11" s="9">
        <x:f t="shared" si="0"/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12" customWidth="1"/>
    <x:col min="2" max="3" width="28" customWidth="1"/>
  </x:cols>
  <x:sheetData>
    <x:row r="1">
      <x:c r="A1" s="1" t="s">
        <x:v>2</x:v>
      </x:c>
      <x:c r="B1" s="1" t="s">
        <x:v>299</x:v>
      </x:c>
      <x:c r="C1" s="1" t="s">
        <x:v>300</x:v>
      </x:c>
    </x:row>
    <x:row r="2">
      <x:c r="A2" s="2" t="s">
        <x:v>22</x:v>
      </x:c>
      <x:c r="B2" s="10"/>
      <x:c r="C2" s="10"/>
    </x:row>
    <x:row r="3">
      <x:c r="A3" s="2" t="s">
        <x:v>78</x:v>
      </x:c>
      <x:c r="B3" s="10"/>
      <x:c r="C3" s="10"/>
    </x:row>
    <x:row r="4">
      <x:c r="A4" s="2" t="s">
        <x:v>14</x:v>
      </x:c>
      <x:c r="B4" s="10" t="s">
        <x:v>301</x:v>
      </x:c>
      <x:c r="C4" s="10" t="s">
        <x:v>302</x:v>
      </x:c>
    </x:row>
    <x:row r="6">
      <x:c r="A6" s="6" t="s">
        <x:v>303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1" max="1" width="28" customWidth="1"/>
    <x:col min="2" max="2" width="22" customWidth="1"/>
    <x:col min="3" max="3" width="80" customWidth="1"/>
  </x:cols>
  <x:sheetData>
    <x:row r="1">
      <x:c r="A1" s="15" t="s">
        <x:v>304</x:v>
      </x:c>
      <x:c r="B1" s="15" t="s">
        <x:v>305</x:v>
      </x:c>
      <x:c r="C1" s="15" t="s">
        <x:v>306</x:v>
      </x:c>
    </x:row>
    <x:row r="2">
      <x:c r="A2" s="18" t="s">
        <x:v>307</x:v>
      </x:c>
      <x:c r="B2" s="18" t="s">
        <x:v>78</x:v>
      </x:c>
      <x:c r="C2" s="18" t="s">
        <x:v>308</x:v>
      </x:c>
    </x:row>
    <x:row r="3">
      <x:c r="A3" s="18" t="s">
        <x:v>309</x:v>
      </x:c>
      <x:c r="B3" s="18" t="s">
        <x:v>78</x:v>
      </x:c>
      <x:c r="C3" s="18" t="s">
        <x:v>310</x:v>
      </x:c>
    </x:row>
    <x:row r="4">
      <x:c r="A4" s="18" t="s">
        <x:v>311</x:v>
      </x:c>
      <x:c r="B4" s="18" t="s">
        <x:v>312</x:v>
      </x:c>
      <x:c r="C4" s="18" t="s">
        <x:v>313</x:v>
      </x:c>
    </x:row>
    <x:row r="5">
      <x:c r="A5" s="18" t="s">
        <x:v>314</x:v>
      </x:c>
      <x:c r="B5" s="18" t="s">
        <x:v>315</x:v>
      </x:c>
      <x:c r="C5" s="18" t="s">
        <x:v>316</x:v>
      </x:c>
    </x:row>
    <x:row r="6">
      <x:c r="A6" s="13" t="str">
        <x:v>Cặp 1 (F4-01, F4-02)</x:v>
      </x:c>
      <x:c r="B6" s="13" t="str">
        <x:v>Cặp 2 (F4-04)</x:v>
      </x:c>
      <x:c r="C6" s="13" t="str">
        <x:v>Ca trực, khu/ô, Groom và vật tư dùng để sinh checklist</x:v>
      </x:c>
    </x:row>
    <x:row r="7">
      <x:c r="A7" s="13" t="str">
        <x:v>Cặp 2 (F4-03, F4-04)</x:v>
      </x:c>
      <x:c r="B7" s="13" t="str">
        <x:v>Cặp 1 (F4-05, F4-06)</x:v>
      </x:c>
      <x:c r="C7" s="13" t="str">
        <x:v>Khẩu phần và checklist đã sinh để hoàn thành việc, ghi care log và tiêu hao</x:v>
      </x:c>
    </x:row>
    <x:row r="8">
      <x:c r="A8" s="13" t="str">
        <x:v>Cặp 2 (F5-03)</x:v>
      </x:c>
      <x:c r="B8" s="13" t="str">
        <x:v>Cặp 1 (F5-04)</x:v>
      </x:c>
      <x:c r="C8" s="13" t="str">
        <x:v>Kết quả đã chốt, phí đăng ký và tiền thưởng cho sổ tài chính</x:v>
      </x:c>
    </x:row>
    <x:row r="9">
      <x:c r="A9" s="13" t="str">
        <x:v>Cặp 1 (F4-06)</x:v>
      </x:c>
      <x:c r="B9" s="13" t="str">
        <x:v>Cặp 1 (F5-04)</x:v>
      </x:c>
      <x:c r="C9" s="13" t="str">
        <x:v>Tiêu hao vật tư theo ngựa và chi phí theo ngày phát sinh</x:v>
      </x:c>
    </x:row>
    <x:row r="10">
      <x:c r="A10" s="13" t="str">
        <x:v>Chung (F6-00)</x:v>
      </x:c>
      <x:c r="B10" s="13" t="str">
        <x:v>Cặp 1, Cặp 2 (Flow 6)</x:v>
      </x:c>
      <x:c r="C10" s="13" t="str">
        <x:v>Provider, trường dữ liệu được gửi, retention, secret và fallback</x:v>
      </x:c>
    </x:row>
    <x:row r="11">
      <x:c r="A11" s="13" t="str">
        <x:v>Cặp 1 (F6-01)</x:v>
      </x:c>
      <x:c r="B11" s="13" t="str">
        <x:v>Cặp 2 (F6-02 đến F6-05)</x:v>
      </x:c>
      <x:c r="C11" s="13" t="str">
        <x:v>AIInsight lifecycle, typed JSON, trạng thái lỗi/hết hạn và audit</x:v>
      </x:c>
    </x:row>
    <x:row r="12">
      <x:c r="A12" s="13" t="str">
        <x:v>Cặp 2 (F6-02)</x:v>
      </x:c>
      <x:c r="B12" s="13" t="str">
        <x:v>Cặp 1 (F6-06, F6-07)</x:v>
      </x:c>
      <x:c r="C12" s="13" t="str">
        <x:v>Context projection, confidence và risk signal đã lọc theo RBAC</x:v>
      </x:c>
    </x:row>
    <x:row r="13">
      <x:c r="A13" s="13" t="str">
        <x:v>Cặp 1 (F5-04, F5-05)</x:v>
      </x:c>
      <x:c r="B13" s="13" t="str">
        <x:v>Cặp 1 (F6-06)</x:v>
      </x:c>
      <x:c r="C13" s="13" t="str">
        <x:v>Số liệu tài chính/báo cáo đã chốt cho tóm tắt AI</x:v>
      </x:c>
    </x:row>
  </x:sheetData>
  <x:pageMargins left="0.7" right="0.7" top="0.75" bottom="0.75" header="0.3" footer="0.3"/>
</x:worksheet>
</file>