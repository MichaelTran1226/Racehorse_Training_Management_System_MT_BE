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ân công" state="visible" r:id="rId4"/>
    <sheet sheetId="2" name="Chi tiết theo luồng" state="visible" r:id="rId5"/>
    <sheet sheetId="3" name="Tổng quan" state="visible" r:id="rId6"/>
    <sheet sheetId="4" name="Thành viên" state="visible" r:id="rId7"/>
    <sheet sheetId="5" name="Điểm nối" state="visible" r:id="rId8"/>
  </sheets>
  <calcPr calcId="171027" fullCalcOnLoad="1"/>
</workbook>
</file>

<file path=xl/sharedStrings.xml><?xml version="1.0" encoding="utf-8"?>
<sst xmlns="http://schemas.openxmlformats.org/spreadsheetml/2006/main" count="1155" uniqueCount="317">
  <si>
    <t>Mã</t>
  </si>
  <si>
    <t>Task</t>
  </si>
  <si>
    <t>Cặp</t>
  </si>
  <si>
    <t>FE phụ trách</t>
  </si>
  <si>
    <t>BE phụ trách</t>
  </si>
  <si>
    <t>Sprint</t>
  </si>
  <si>
    <t>Bắt đầu</t>
  </si>
  <si>
    <t>Kết thúc</t>
  </si>
  <si>
    <t>Priority</t>
  </si>
  <si>
    <t>Chức năng (FR Tai_Lieu)</t>
  </si>
  <si>
    <t>Issue</t>
  </si>
  <si>
    <t>Trạng thái</t>
  </si>
  <si>
    <t>C-01</t>
  </si>
  <si>
    <t>Nền tảng FE: design tokens, Master layout &amp; routing</t>
  </si>
  <si>
    <t>Chung</t>
  </si>
  <si>
    <t>Sprint 1</t>
  </si>
  <si>
    <t>P0 Critical</t>
  </si>
  <si>
    <t>Nền tảng FE</t>
  </si>
  <si>
    <t>#31</t>
  </si>
  <si>
    <t>Todo</t>
  </si>
  <si>
    <t>P1-01</t>
  </si>
  <si>
    <t>Đăng nhập, JWT &amp; điều hướng 5 vai trò</t>
  </si>
  <si>
    <t>Cặp 1</t>
  </si>
  <si>
    <t>Auth (không có trong TaiLieu)</t>
  </si>
  <si>
    <t>#32</t>
  </si>
  <si>
    <t>P1-02</t>
  </si>
  <si>
    <t>Đăng ký Chủ ngựa &amp; xác thực OTP email</t>
  </si>
  <si>
    <t>#33</t>
  </si>
  <si>
    <t>P1-03</t>
  </si>
  <si>
    <t>Quên &amp; đặt lại mật khẩu</t>
  </si>
  <si>
    <t>#34</t>
  </si>
  <si>
    <t>P1-04</t>
  </si>
  <si>
    <t>Mời nhân sự nội bộ &amp; danh sách nhân sự</t>
  </si>
  <si>
    <t>#35</t>
  </si>
  <si>
    <t>P1-05</t>
  </si>
  <si>
    <t>RBAC 5 vai trò, route guard &amp; cách ly dữ liệu Chủ ngựa</t>
  </si>
  <si>
    <t>#36</t>
  </si>
  <si>
    <t>P1-06</t>
  </si>
  <si>
    <t>Nhật ký kiểm toán (Audit trail)</t>
  </si>
  <si>
    <t>#37</t>
  </si>
  <si>
    <t>P1-07</t>
  </si>
  <si>
    <t>Danh sách, tạo/sửa, chi tiết hồ sơ ngựa (6 tab)</t>
  </si>
  <si>
    <t>Sprint 2</t>
  </si>
  <si>
    <t>P1 High</t>
  </si>
  <si>
    <t>FR-1.01, FR-1.02, FR-1.03, FR-1.04, FR-1.26</t>
  </si>
  <si>
    <t>#38</t>
  </si>
  <si>
    <t>P1-08</t>
  </si>
  <si>
    <t>Trạng thái ngựa, nhóm y tế, badge/banner Khóa huấn luyện, lịch sử trạng thái</t>
  </si>
  <si>
    <t>FR-1.05, FR-1.06, FR-1.07, FR-1.17</t>
  </si>
  <si>
    <t>#39</t>
  </si>
  <si>
    <t>P1-09</t>
  </si>
  <si>
    <t>Sơ đồ chuồng trại, gán/chuyển/trả ô, danh mục khu &amp; ô chuồng</t>
  </si>
  <si>
    <t>FR-1.09, FR-1.10, FR-1.11, FR-1.12, FR-1.18, FR-1.24</t>
  </si>
  <si>
    <t>#40</t>
  </si>
  <si>
    <t>P1-10</t>
  </si>
  <si>
    <t>Nhân viên chăm sóc, lịch sinh hoạt hằng ngày &amp; lịch mẫu</t>
  </si>
  <si>
    <t>Sprint 3</t>
  </si>
  <si>
    <t>FR-1.13, FR-1.14, FR-1.15, FR-1.25</t>
  </si>
  <si>
    <t>#41</t>
  </si>
  <si>
    <t>P1-11</t>
  </si>
  <si>
    <t>Chủ sở hữu, ngừng quản lý/kích hoạt lại, xóa mềm &amp; khôi phục</t>
  </si>
  <si>
    <t>P3 Low</t>
  </si>
  <si>
    <t>FR-1.08, FR-1.16, FR-1.20, FR-1.21</t>
  </si>
  <si>
    <t>#42</t>
  </si>
  <si>
    <t>P1-12</t>
  </si>
  <si>
    <t>Danh mục Giống &amp; Màu lông</t>
  </si>
  <si>
    <t>FR-1.22, FR-1.23</t>
  </si>
  <si>
    <t>#43</t>
  </si>
  <si>
    <t>P1-13</t>
  </si>
  <si>
    <t>Dòng thời gian vòng đời ngựa</t>
  </si>
  <si>
    <t>FR-1.19</t>
  </si>
  <si>
    <t>#44</t>
  </si>
  <si>
    <t>P1-14</t>
  </si>
  <si>
    <t>Sơ đồ sức khỏe đàn ngựa 4 mã màu</t>
  </si>
  <si>
    <t>FR-3.01</t>
  </si>
  <si>
    <t>#45</t>
  </si>
  <si>
    <t>P2-01</t>
  </si>
  <si>
    <t>Hồ sơ y tế ngựa (6 tab), ghi chú quan sát, quyền xem Owner/Groom</t>
  </si>
  <si>
    <t>Cặp 2</t>
  </si>
  <si>
    <t>FR-3.02, FR-3.17, FR-3.18</t>
  </si>
  <si>
    <t>#46</t>
  </si>
  <si>
    <t>P2-02</t>
  </si>
  <si>
    <t>Bệnh án, phác đồ điều trị &amp; kê đơn thuốc</t>
  </si>
  <si>
    <t>FR-3.03, FR-3.04, FR-3.05, FR-3.06, FR-3.07, FR-3.20</t>
  </si>
  <si>
    <t>#47</t>
  </si>
  <si>
    <t>P2-03</t>
  </si>
  <si>
    <t>Mô hình chấn thương 2D &amp; tiến trình hồi phục</t>
  </si>
  <si>
    <t>FR-3.08, FR-3.09</t>
  </si>
  <si>
    <t>#48</t>
  </si>
  <si>
    <t>P2-04</t>
  </si>
  <si>
    <t>Khóa huấn luyện: đặt/gỡ/gia hạn, danh sách &amp; thông báo</t>
  </si>
  <si>
    <t>FR-3.10, FR-3.11, FR-3.12, FR-3.19</t>
  </si>
  <si>
    <t>#49</t>
  </si>
  <si>
    <t>P2-05</t>
  </si>
  <si>
    <t>Lịch chăm sóc định kỳ (tiêm phòng, tẩy giun, móng) &amp; danh mục loại</t>
  </si>
  <si>
    <t>FR-3.13, FR-3.14, FR-3.15, FR-3.16</t>
  </si>
  <si>
    <t>#50</t>
  </si>
  <si>
    <t>P2-06</t>
  </si>
  <si>
    <t>Giáo án huấn luyện: lập, sửa, kích hoạt, kết thúc, nhân bản</t>
  </si>
  <si>
    <t>FR-2.02, FR-2.03, FR-2.04, FR-2.05, FR-2.08, FR-2.18, FR-2.19, FR-2.21</t>
  </si>
  <si>
    <t>#51</t>
  </si>
  <si>
    <t>P2-07</t>
  </si>
  <si>
    <t>Chặn bài tập nặng khi có Khóa huấn luyện &amp; khôi phục</t>
  </si>
  <si>
    <t>FR-2.06, FR-2.07, FR-2.17</t>
  </si>
  <si>
    <t>#52</t>
  </si>
  <si>
    <t>P2-08</t>
  </si>
  <si>
    <t>Lịch tập, phân công Groom/nài, điều phối chạy thử</t>
  </si>
  <si>
    <t>FR-2.09, FR-2.10, FR-2.11, FR-2.12</t>
  </si>
  <si>
    <t>#53</t>
  </si>
  <si>
    <t>P2-09</t>
  </si>
  <si>
    <t>Kết quả buổi tập, biểu đồ thể lực, tổng quan huấn luyện</t>
  </si>
  <si>
    <t>FR-2.01, FR-2.13, FR-2.14, FR-2.15, FR-2.16, FR-2.20</t>
  </si>
  <si>
    <t>#54</t>
  </si>
  <si>
    <t>C-03</t>
  </si>
  <si>
    <t>Nghiệm thu toàn trình MVP-QA</t>
  </si>
  <si>
    <t>Toàn bộ Flow 1–3</t>
  </si>
  <si>
    <t>#55</t>
  </si>
  <si>
    <t>Luồng</t>
  </si>
  <si>
    <t>Tên luồng</t>
  </si>
  <si>
    <t>Bên</t>
  </si>
  <si>
    <t>Việc cần làm</t>
  </si>
  <si>
    <t>Người phụ trách</t>
  </si>
  <si>
    <t>NT</t>
  </si>
  <si>
    <t>Nền tảng giao diện</t>
  </si>
  <si>
    <t>FE</t>
  </si>
  <si>
    <t xml:space="preserve">• Design tokens (Forest Green #315D4B, Manrope/DM Sans), sáng/tối
• Layout: AppShell, Sidebar 224px, Topbar 64px, AuthLayout
• UI dùng chung: Button, Modal, Toast, Table, Badge, form…
• API client + mock (VITE_USE_MOCK), router + RoleGuard</t>
  </si>
  <si>
    <t>WF1-1</t>
  </si>
  <si>
    <t>Luồng chính: đăng nhập thành công → dashboard theo vai trò</t>
  </si>
  <si>
    <t xml:space="preserve">• Màn Login (AUTH01): email → mật khẩu, "Remember me"
• Lưu token, điều hướng theo vai trò</t>
  </si>
  <si>
    <t>BE</t>
  </si>
  <si>
    <t xml:space="preserve">• POST /auth/login: kiểm tra mật khẩu, cấp access 15 phút + refresh 7 ngày (30 ngày khi remember)
• GET /auth/me trả hồ sơ + quyền</t>
  </si>
  <si>
    <t>WF1-2</t>
  </si>
  <si>
    <t>Rẽ nhánh: 8 trường hợp bị chặn (khóa, chờ duyệt, chưa xác minh…)</t>
  </si>
  <si>
    <t>• Hiện đúng thông báo theo code: ACCOUNT_LOCKED, ACCOUNT_PENDING, EMAIL_NOT_VERIFIED…</t>
  </si>
  <si>
    <t>• Trả 423/403 kèm code + data (fullName, requestCode, reason…)</t>
  </si>
  <si>
    <t>WF1-3</t>
  </si>
  <si>
    <t>Khóa tạm sau 5 lần sai</t>
  </si>
  <si>
    <t>• Hiện số lần còn lại, đếm ngược tới retryAt</t>
  </si>
  <si>
    <t>• LoginAttempt: sai 5 lần khóa 15 phút (429 ATTEMPTS_EXCEEDED)</t>
  </si>
  <si>
    <t>WF1-4/5/6</t>
  </si>
  <si>
    <t>Khôi phục phiên, hết phiên, đăng xuất</t>
  </si>
  <si>
    <t xml:space="preserve">• Tải lại trang giữ đăng nhập; 401 → tự làm mới token, không được thì modal Session Expired
• Đăng xuất xóa token</t>
  </si>
  <si>
    <t xml:space="preserve">• POST /auth/refresh xoay vòng refresh token
• POST /auth/logout thu hồi refresh token</t>
  </si>
  <si>
    <t>ĐK-1</t>
  </si>
  <si>
    <t>Đăng ký → nhận mã OTP qua email</t>
  </si>
  <si>
    <t>• Màn Sign Up (AUTH02): họ tên, email @gmail.com, mật khẩu (thang độ mạnh)</t>
  </si>
  <si>
    <t>• POST /auth/register: chỉ HORSE_OWNER, tạo PENDING_EMAIL + requestCode REQ-YYMM-NNN, gửi OTP</t>
  </si>
  <si>
    <t>ĐK-2</t>
  </si>
  <si>
    <t>Nhập OTP → chờ duyệt</t>
  </si>
  <si>
    <t xml:space="preserve">• Form OTP: đếm ngược hết hạn, gửi lại sau 60 giây, báo số lần còn lại
• Màn Pending Approval hiện mã yêu cầu</t>
  </si>
  <si>
    <t xml:space="preserve">• POST /auth/verify-email → PENDING_APPROVAL
• GET /auth/otp, POST /auth/otp/resend (chờ 60 giây, sai 5 lần khóa mã)</t>
  </si>
  <si>
    <t>QMK-1</t>
  </si>
  <si>
    <t>Nhập email → nhận mã</t>
  </si>
  <si>
    <t>• Màn Forgot Password (AUTH03): thông báo trung tính</t>
  </si>
  <si>
    <t>• POST /auth/forgot-password: trả giống nhau dù email có tồn tại hay không</t>
  </si>
  <si>
    <t>QMK-2</t>
  </si>
  <si>
    <t>Nhập mã → đặt mật khẩu mới</t>
  </si>
  <si>
    <t>• Màn Reset Password (AUTH04): OTP + mật khẩu mới</t>
  </si>
  <si>
    <t xml:space="preserve">• POST /auth/reset-password/verify → vé đặt mật khẩu
• POST /auth/reset-password: vé dùng 1 lần, thu hồi mọi phiên cũ</t>
  </si>
  <si>
    <t>TK-1</t>
  </si>
  <si>
    <t>Mời nhân sự → nhận lời mời → đặt mật khẩu</t>
  </si>
  <si>
    <t xml:space="preserve">• Modal mời (SYS02): họ tên, email, vai trò
• Màn Accept Invite: email + mã mời → đặt mật khẩu</t>
  </si>
  <si>
    <t xml:space="preserve">• POST /accounts: tạo INVITED + gửi mã mời 48 giờ
• POST /auth/accept-invite/verify; POST /accounts/:id/resend-invite</t>
  </si>
  <si>
    <t>TK-2</t>
  </si>
  <si>
    <t>Duyệt / từ chối / khóa / mở khóa / vô hiệu hóa / kích hoạt lại / xóa</t>
  </si>
  <si>
    <t xml:space="preserve">• Danh sách tài khoản (SYS01) theo tab trạng thái
• Hộp thoại nhập lý do, sửa họ tên + SĐT</t>
  </si>
  <si>
    <t xml:space="preserve">• POST /accounts/:id/{approve,decline,lock,unlock,deactivate,reactivate}
• PUT /accounts/:id; DELETE /accounts/:id (chỉ tài khoản chưa dùng)
• Không tự khóa mình; luôn còn ≥ 1 Club Manager</t>
  </si>
  <si>
    <t>PQ-1</t>
  </si>
  <si>
    <t>Chặn theo quyền + trang 403</t>
  </si>
  <si>
    <t>• RoleGuard, sidebar theo quyền, trang 403 + mã tham chiếu</t>
  </si>
  <si>
    <t xml:space="preserve">• PermissionsGuard + @RequirePermission; mọi API tự kiểm tra quyền (không chỉ ẩn nút)
• POST /audit/forbidden</t>
  </si>
  <si>
    <t>PQ-2</t>
  </si>
  <si>
    <t>Bật/tắt quyền, xin cấp quyền</t>
  </si>
  <si>
    <t>• Ma trận quyền (Permissions), hộp yêu cầu cấp quyền của Manager</t>
  </si>
  <si>
    <t xml:space="preserve">• PUT /accounts/:id/permissions (ép các quyền khóa theo vai trò)
• POST/GET /permission-requests, POST /permission-requests/:id/resolve</t>
  </si>
  <si>
    <t>PQ-3</t>
  </si>
  <si>
    <t>Cách ly dữ liệu Chủ ngựa</t>
  </si>
  <si>
    <t>• Owner chỉ thấy ngựa của mình</t>
  </si>
  <si>
    <t>• Owner A gọi dữ liệu ngựa của Owner B → 403 (áp dụng cho mọi API ngựa, y tế, huấn luyện)</t>
  </si>
  <si>
    <t>NK-1</t>
  </si>
  <si>
    <t>Ghi nhật ký tự động</t>
  </si>
  <si>
    <t>• Mọi thao tác ghi (khóa, đổi quyền, đặt/gỡ khóa huấn luyện…) ghi AuditLog; không có API sửa/xóa log</t>
  </si>
  <si>
    <t>NK-2</t>
  </si>
  <si>
    <t>Xem và lọc nhật ký (Manager)</t>
  </si>
  <si>
    <t>• Màn Audit Log: lọc theo người, hành động, khoảng ngày; phân trang</t>
  </si>
  <si>
    <t>• GET /audit-logs (API-017) có lọc + phân trang, chỉ người có quyền viewAudit</t>
  </si>
  <si>
    <t>F1-L1</t>
  </si>
  <si>
    <t>Tạo ngựa (bước 1–2): Thêm ngựa → nhập định danh → Lưu</t>
  </si>
  <si>
    <t xml:space="preserve">• SC-1.02 form 8 ô: Tên, Giống, Ngày sinh, Giới tính, Màu lông, Microchip, RFID
• Cảnh báo rời form chưa lưu (DL-1.12)</t>
  </si>
  <si>
    <t xml:space="preserve">• POST /horses: tự sinh Mã ngựa, trạng thái đầu Nghỉ ngơi, chặn trùng Tên/Microchip/RFID
• PUT /horses/:id sửa định danh</t>
  </si>
  <si>
    <t>F1-L8</t>
  </si>
  <si>
    <t>Tra cứu: danh sách + chi tiết</t>
  </si>
  <si>
    <t xml:space="preserve">• SC-1.01 danh sách: 7 bộ lọc, sắp xếp, phân trang
• SC-1.03 chi tiết: header + tab Thông tin; che Microchip với GROOM</t>
  </si>
  <si>
    <t xml:space="preserve">• GET /horses theo phạm vi vai trò (Owner chỉ ngựa của mình)
• GET /horses/:id (ẩn microchip với GROOM)</t>
  </si>
  <si>
    <t>F1-L2</t>
  </si>
  <si>
    <t>HT đổi trạng thái vận hành</t>
  </si>
  <si>
    <t>• DL-1.01: chỉ hiện trạng thái vai trò được chuyển tới</t>
  </si>
  <si>
    <t>• API đổi trạng thái theo bảng chuyển Mục 4.2</t>
  </si>
  <si>
    <t>F1-L3</t>
  </si>
  <si>
    <t>VET đổi trạng thái y tế (lý do bắt buộc)</t>
  </si>
  <si>
    <t>• DL-1.01 với lý do 10–500 ký tự, khung gợi ý đặt khóa</t>
  </si>
  <si>
    <t>• Chỉ VET vào/ra nhóm y tế; lý do bắt buộc</t>
  </si>
  <si>
    <t>F1-L4</t>
  </si>
  <si>
    <t>Nhận Khóa huấn luyện từ Flow 3</t>
  </si>
  <si>
    <t>• Badge + banner đỏ, vô hiệu hóa nút theo Mục 4.2, bộ lọc Khóa huấn luyện</t>
  </si>
  <si>
    <t>• Chặn chuyển về trạng thái vận hành khi isMedicalLocked</t>
  </si>
  <si>
    <t>Tab Lịch sử trạng thái</t>
  </si>
  <si>
    <t>• Bảng lịch sử, lọc khoảng ngày</t>
  </si>
  <si>
    <t>• Lưu + GET lịch sử trạng thái (⚠️ cần bảng mới, chốt với nhóm BE)</t>
  </si>
  <si>
    <t>Gán ô chuồng cho ngựa mới</t>
  </si>
  <si>
    <t>• DL-1.02 chế độ Gán / Gán vào ô từ sơ đồ</t>
  </si>
  <si>
    <t>• Gán ô: chỉ ô Hoạt động và trống; chống 2 người gán cùng lúc</t>
  </si>
  <si>
    <t>F1-L5</t>
  </si>
  <si>
    <t>Chuyển / trả ô chuồng</t>
  </si>
  <si>
    <t xml:space="preserve">• DL-1.02 chế độ Chuyển, DL-1.03 Trả ô
• SC-1.04 lưới sơ đồ theo khu, tìm ngựa, "chỉ ngựa của tôi"</t>
  </si>
  <si>
    <t>• API-010 GET /stalls/board; chuyển/trả ô (StallAllocation)</t>
  </si>
  <si>
    <t>Danh mục khu &amp; ô, lịch sử ô chuồng</t>
  </si>
  <si>
    <t>• SC-1.07 + DL-1.14/1.15; tab Lịch sử ô chuồng</t>
  </si>
  <si>
    <t>• CRUD khu chuồng/ô chuồng; GET lịch sử ô của ngựa</t>
  </si>
  <si>
    <t>Phân công chăm sóc + gắn lịch sinh hoạt (bước 3)</t>
  </si>
  <si>
    <t xml:space="preserve">• DL-1.04 phân công, DL-1.05 kết thúc phân công, DL-1.07 gắn/đổi lịch
• SC-1.08 danh mục lịch sinh hoạt mẫu</t>
  </si>
  <si>
    <t xml:space="preserve">• API phân công chính/phụ + kết thúc
• CRUD lịch mẫu, gắn lịch cho ngựa (⚠️ bảng mới)</t>
  </si>
  <si>
    <t>Cập nhật chủ sở hữu (bước 4)</t>
  </si>
  <si>
    <t>• DL-1.06 thêm/bỏ chủ sở hữu, tỷ lệ</t>
  </si>
  <si>
    <t>• Chủ sở hữu nhiều người + tỷ lệ (⚠️ hiện Horse.ownerId chỉ 1 người, cần đổi schema)</t>
  </si>
  <si>
    <t>F1-L6</t>
  </si>
  <si>
    <t>Ngừng quản lý / kích hoạt lại</t>
  </si>
  <si>
    <t>• DL-1.08, DL-1.09, banner Ngừng quản lý</t>
  </si>
  <si>
    <t>• Ngừng quản lý tự kết thúc ô chuồng + phân công chăm sóc</t>
  </si>
  <si>
    <t>F1-L7</t>
  </si>
  <si>
    <t>Xóa nhầm và khôi phục</t>
  </si>
  <si>
    <t>• DL-1.10 xóa, SC-1.05 hồ sơ đã xóa, DL-1.11 khôi phục</t>
  </si>
  <si>
    <t>• Xóa mềm chỉ khi chưa có dữ liệu Flow 2–5; khôi phục</t>
  </si>
  <si>
    <t>DM</t>
  </si>
  <si>
    <t>• SC-1.06 hai tab, DL-1.13 thêm/sửa</t>
  </si>
  <si>
    <t>• CRUD danh mục (⚠️ hiện Horse.breed/color là chuỗi, cần chốt schema)</t>
  </si>
  <si>
    <t>Tab Dòng thời gian</t>
  </si>
  <si>
    <t>• Lọc nhóm, khoảng ngày, "Tải thêm", link xem chi tiết</t>
  </si>
  <si>
    <t>• API tổng hợp sự kiện từ Flow 1, 2, 3 (phân trang)</t>
  </si>
  <si>
    <t>F3-L1</t>
  </si>
  <si>
    <t>Theo dõi toàn đàn</t>
  </si>
  <si>
    <t xml:space="preserve">• SC-3.01: thẻ đếm, bộ lọc, lưới theo chuồng/thẻ, panel ngựa
• Bấm ngựa → SC-3.02</t>
  </si>
  <si>
    <t>• API-004 / API board sức khỏe toàn đàn theo khu chuồng (màu theo Mục 4.1)</t>
  </si>
  <si>
    <t>Mở hồ sơ y tế từ sơ đồ/hồ sơ ngựa</t>
  </si>
  <si>
    <t>• SC-3.02: 6 tab theo quyền, tab Ghi chú quan sát</t>
  </si>
  <si>
    <t>• API hồ sơ y tế tổng hợp; Owner chỉ ngựa của mình, Groom xem giới hạn</t>
  </si>
  <si>
    <t>F3-L2</t>
  </si>
  <si>
    <t>Khám và điều trị</t>
  </si>
  <si>
    <t xml:space="preserve">• SC-3.09 danh sách, SC-3.03 form 4 khối, SC-3.04 chi tiết
• DL-3.04 giai đoạn, DL-3.05/3.06 thuốc, DL-3.07 tái khám, DL-3.08 chốt, DL-3.09 kết thúc, DL-3.15 rời form</t>
  </si>
  <si>
    <t xml:space="preserve">• CRUD MedicalRecord + trạng thái bệnh án
• Phác đồ, đơn thuốc, tính ngày hết ngưng thuốc (⚠️ mở rộng schema)</t>
  </si>
  <si>
    <t>F3-L3</t>
  </si>
  <si>
    <t>Chấn thương</t>
  </si>
  <si>
    <t>• SC-3.05 bật chế độ đánh dấu, DL-3.10 ghi tổn thương, DL-3.11 cập nhật hồi phục</t>
  </si>
  <si>
    <t>• API-007 InjuryLog: tọa độ chuẩn hóa 0–1; giai đoạn Cấp tính → Đã lành + lịch sử</t>
  </si>
  <si>
    <t>F3-L4</t>
  </si>
  <si>
    <t>Khóa huấn luyện khẩn cấp</t>
  </si>
  <si>
    <t xml:space="preserve">• DL-3.01 đặt, DL-3.02 gỡ, DL-3.03 gia hạn
• SC-3.06 tab Đang khóa / Lịch sử</t>
  </si>
  <si>
    <t xml:space="preserve">• API-005 đặt khóa, API-006 gỡ khóa, gia hạn — chỉ VET
• Một transaction: đổi trạng thái ngựa + isMedicalLocked + chuyển buổi nặng sang Bị chặn + thông báo HT, CM, GROOM, OWNER</t>
  </si>
  <si>
    <t>F3-L5</t>
  </si>
  <si>
    <t>Chăm sóc định kỳ</t>
  </si>
  <si>
    <t xml:space="preserve">• SC-3.07, DL-3.12 ghi nhận (đơn lẻ/hàng loạt), DL-3.13
• SC-3.08 danh mục loại + DL-3.14</t>
  </si>
  <si>
    <t xml:space="preserve">• PreventiveSchedule; tính ngày đến hạn tiếp theo
• Job thông báo 06:00 (sắp đến hạn, đến hạn, quá hạn)</t>
  </si>
  <si>
    <t>F2-L1</t>
  </si>
  <si>
    <t>Lập và áp dụng giáo án</t>
  </si>
  <si>
    <t xml:space="preserve">• SC-2.02 danh sách, SC-2.03 form giai đoạn, SC-2.04 chi tiết
• DL-2.01 buổi tập (lặp hằng tuần), DL-2.02 kích hoạt, DL-2.08 nhân bản, DL-2.09 rời form</t>
  </si>
  <si>
    <t xml:space="preserve">• API-008 TrainingPlan + giai đoạn; trạng thái Nháp → Đang áp dụng
• Kích hoạt tùy chọn chuyển ngựa sang Đang tập luyện</t>
  </si>
  <si>
    <t>F2-L5</t>
  </si>
  <si>
    <t>Kết thúc giáo án</t>
  </si>
  <si>
    <t>• DL-2.04 hoàn thành, DL-2.03 hủy</t>
  </si>
  <si>
    <t>• Tự hoàn thành khi quá hạn; tự hủy khi ngựa ngừng quản lý</t>
  </si>
  <si>
    <t>Kiểm tra sức khỏe khi kích hoạt (bước 4)</t>
  </si>
  <si>
    <t>• Banner khóa / banner trạng thái y tế ở SC-2.03, SC-2.04</t>
  </si>
  <si>
    <t>• Kích hoạt: có khóa → chặn; trạng thái y tế → cảnh báo</t>
  </si>
  <si>
    <t>F2-L4</t>
  </si>
  <si>
    <t>Khi VET đặt khóa (tự động)</t>
  </si>
  <si>
    <t xml:space="preserve">• Badge Bị chặn, lựa chọn bị vô hiệu hóa trong DL-2.01
• DL-2.07 khôi phục lịch, DL-2.05 hủy buổi</t>
  </si>
  <si>
    <t xml:space="preserve">• Kiểm tra khóa ở service (không chỉ ẩn nút)
• Buổi nặng chưa diễn ra → Bị chặn; khôi phục sau khi gỡ</t>
  </si>
  <si>
    <t>F2-L2</t>
  </si>
  <si>
    <t>Xếp lịch và phân công hằng ngày</t>
  </si>
  <si>
    <t xml:space="preserve">• SC-2.05 lưới lịch ngày/tuần, tab Lượt chạy thử
• SC-2.08 Lịch tập của tôi (GROOM)</t>
  </si>
  <si>
    <t xml:space="preserve">• Phân công nhân viên chăm sóc + nài; cảnh báo trùng giờ
• Chặn trùng khung 15 phút lượt chạy thử cùng mặt sân</t>
  </si>
  <si>
    <t>F2-L3</t>
  </si>
  <si>
    <t>Ghi kết quả và đánh giá</t>
  </si>
  <si>
    <t xml:space="preserve">• SC-2.06 nhập chỉ số, điểm phong độ, nhận xét, dấu hiệu bất thường
• SC-2.07 biểu đồ thể lực, SC-2.01 tổng quan</t>
  </si>
  <si>
    <t xml:space="preserve">• API-009 ghi kết quả; sửa trong 48 giờ; tự đánh dấu Bỏ lỡ, ghi muộn trong 7 ngày
• Dấu hiệu bất thường → thông báo VET, HT</t>
  </si>
  <si>
    <t>F2-L6</t>
  </si>
  <si>
    <t>Chủ sở hữu theo dõi</t>
  </si>
  <si>
    <t>• Owner xem giáo án, buổi tập, nhận xét, biểu đồ ngựa của mình</t>
  </si>
  <si>
    <t>• Cách ly dữ liệu Owner</t>
  </si>
  <si>
    <t>QA</t>
  </si>
  <si>
    <t>Luồng xuyên suốt: đăng ký → hồ sơ ngựa → bệnh án → chấn thương 2D → khóa → lịch bị chặn → gỡ khóa → xếp lịch lại</t>
  </si>
  <si>
    <t>• Playwright test luồng chính ở 1440×1000 và 1280×800</t>
  </si>
  <si>
    <t>• E2E API test luồng chính, RBAC, Owner isolation</t>
  </si>
  <si>
    <t>Ghi chú: Luồng F1-L1… theo Tai_Lieu (mục 3.2 mỗi Flow); WF1-… theo docs/WorkFlow_1_DangNhap.md. Ngày chia trong sprint theo số chức năng của task; FE và BE cùng task làm song song sau khi chốt API. Người phụ trách tự lấy từ sheet Thành viên.</t>
  </si>
  <si>
    <t>Số task</t>
  </si>
  <si>
    <t>Done</t>
  </si>
  <si>
    <t>Tiến độ</t>
  </si>
  <si>
    <t>Tổng</t>
  </si>
  <si>
    <t/>
  </si>
  <si>
    <t>Frontend</t>
  </si>
  <si>
    <t>Backend</t>
  </si>
  <si>
    <t>Cả 2 FE</t>
  </si>
  <si>
    <t>Cả 2 BE</t>
  </si>
  <si>
    <t>Hướng dẫn: điền tên (hoặc GitHub username) vào các ô vàng. Sheet "Phân công" tự lấy tên theo cặp.</t>
  </si>
  <si>
    <t>Cặp cung cấp</t>
  </si>
  <si>
    <t>Cặp dùng</t>
  </si>
  <si>
    <t>Nội dung cần thống nhất API</t>
  </si>
  <si>
    <t>Cặp 1 (P1-05)</t>
  </si>
  <si>
    <t>Đăng nhập, vai trò, cách ly dữ liệu Owner — mọi API của Cặp 2 dùng chung guard</t>
  </si>
  <si>
    <t>Cặp 1 (P1-07, P1-09, P1-10)</t>
  </si>
  <si>
    <t>Danh sách ngựa, trạng thái, ô chuồng, nhân viên chăm sóc phụ trách</t>
  </si>
  <si>
    <t>Cặp 2 (P2-04)</t>
  </si>
  <si>
    <t>Cặp 1 (P1-08, P1-14)</t>
  </si>
  <si>
    <t>Đặt/gỡ Khóa huấn luyện → đổi trạng thái ngựa, bật/tắt banner, màu trên sơ đồ sức khỏe</t>
  </si>
  <si>
    <t>Cặp 2 (P2-02, P2-06 → P2-09)</t>
  </si>
  <si>
    <t>Cặp 1 (P1-13)</t>
  </si>
  <si>
    <t>Sự kiện y tế &amp; huấn luyện cho dòng thời gian ngựa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</si>
</sst>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u/>
      <color rgb="FF0563C1"/>
      <sz val="10"/>
      <name val="Arial"/>
    </font>
    <font>
      <i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15D4B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0" borderId="0" xfId="0" applyFont="1"/>
    <xf numFmtId="9" fontId="2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9" fontId="5" fillId="0" borderId="0" xfId="0" applyNumberFormat="1" applyFont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MichaelTran1226/Racehorse_Training_Management_System_MT_BE/issues/31" TargetMode="External"/><Relationship Id="rId2" Type="http://schemas.openxmlformats.org/officeDocument/2006/relationships/hyperlink" Target="https://github.com/MichaelTran1226/Racehorse_Training_Management_System_MT_BE/issues/32" TargetMode="External"/><Relationship Id="rId3" Type="http://schemas.openxmlformats.org/officeDocument/2006/relationships/hyperlink" Target="https://github.com/MichaelTran1226/Racehorse_Training_Management_System_MT_BE/issues/33" TargetMode="External"/><Relationship Id="rId4" Type="http://schemas.openxmlformats.org/officeDocument/2006/relationships/hyperlink" Target="https://github.com/MichaelTran1226/Racehorse_Training_Management_System_MT_BE/issues/34" TargetMode="External"/><Relationship Id="rId5" Type="http://schemas.openxmlformats.org/officeDocument/2006/relationships/hyperlink" Target="https://github.com/MichaelTran1226/Racehorse_Training_Management_System_MT_BE/issues/35" TargetMode="External"/><Relationship Id="rId6" Type="http://schemas.openxmlformats.org/officeDocument/2006/relationships/hyperlink" Target="https://github.com/MichaelTran1226/Racehorse_Training_Management_System_MT_BE/issues/36" TargetMode="External"/><Relationship Id="rId7" Type="http://schemas.openxmlformats.org/officeDocument/2006/relationships/hyperlink" Target="https://github.com/MichaelTran1226/Racehorse_Training_Management_System_MT_BE/issues/37" TargetMode="External"/><Relationship Id="rId8" Type="http://schemas.openxmlformats.org/officeDocument/2006/relationships/hyperlink" Target="https://github.com/MichaelTran1226/Racehorse_Training_Management_System_MT_BE/issues/38" TargetMode="External"/><Relationship Id="rId9" Type="http://schemas.openxmlformats.org/officeDocument/2006/relationships/hyperlink" Target="https://github.com/MichaelTran1226/Racehorse_Training_Management_System_MT_BE/issues/39" TargetMode="External"/><Relationship Id="rId10" Type="http://schemas.openxmlformats.org/officeDocument/2006/relationships/hyperlink" Target="https://github.com/MichaelTran1226/Racehorse_Training_Management_System_MT_BE/issues/40" TargetMode="External"/><Relationship Id="rId11" Type="http://schemas.openxmlformats.org/officeDocument/2006/relationships/hyperlink" Target="https://github.com/MichaelTran1226/Racehorse_Training_Management_System_MT_BE/issues/41" TargetMode="External"/><Relationship Id="rId12" Type="http://schemas.openxmlformats.org/officeDocument/2006/relationships/hyperlink" Target="https://github.com/MichaelTran1226/Racehorse_Training_Management_System_MT_BE/issues/42" TargetMode="External"/><Relationship Id="rId13" Type="http://schemas.openxmlformats.org/officeDocument/2006/relationships/hyperlink" Target="https://github.com/MichaelTran1226/Racehorse_Training_Management_System_MT_BE/issues/43" TargetMode="External"/><Relationship Id="rId14" Type="http://schemas.openxmlformats.org/officeDocument/2006/relationships/hyperlink" Target="https://github.com/MichaelTran1226/Racehorse_Training_Management_System_MT_BE/issues/44" TargetMode="External"/><Relationship Id="rId15" Type="http://schemas.openxmlformats.org/officeDocument/2006/relationships/hyperlink" Target="https://github.com/MichaelTran1226/Racehorse_Training_Management_System_MT_BE/issues/45" TargetMode="External"/><Relationship Id="rId16" Type="http://schemas.openxmlformats.org/officeDocument/2006/relationships/hyperlink" Target="https://github.com/MichaelTran1226/Racehorse_Training_Management_System_MT_BE/issues/46" TargetMode="External"/><Relationship Id="rId17" Type="http://schemas.openxmlformats.org/officeDocument/2006/relationships/hyperlink" Target="https://github.com/MichaelTran1226/Racehorse_Training_Management_System_MT_BE/issues/47" TargetMode="External"/><Relationship Id="rId18" Type="http://schemas.openxmlformats.org/officeDocument/2006/relationships/hyperlink" Target="https://github.com/MichaelTran1226/Racehorse_Training_Management_System_MT_BE/issues/48" TargetMode="External"/><Relationship Id="rId19" Type="http://schemas.openxmlformats.org/officeDocument/2006/relationships/hyperlink" Target="https://github.com/MichaelTran1226/Racehorse_Training_Management_System_MT_BE/issues/49" TargetMode="External"/><Relationship Id="rId20" Type="http://schemas.openxmlformats.org/officeDocument/2006/relationships/hyperlink" Target="https://github.com/MichaelTran1226/Racehorse_Training_Management_System_MT_BE/issues/50" TargetMode="External"/><Relationship Id="rId21" Type="http://schemas.openxmlformats.org/officeDocument/2006/relationships/hyperlink" Target="https://github.com/MichaelTran1226/Racehorse_Training_Management_System_MT_BE/issues/51" TargetMode="External"/><Relationship Id="rId22" Type="http://schemas.openxmlformats.org/officeDocument/2006/relationships/hyperlink" Target="https://github.com/MichaelTran1226/Racehorse_Training_Management_System_MT_BE/issues/52" TargetMode="External"/><Relationship Id="rId23" Type="http://schemas.openxmlformats.org/officeDocument/2006/relationships/hyperlink" Target="https://github.com/MichaelTran1226/Racehorse_Training_Management_System_MT_BE/issues/53" TargetMode="External"/><Relationship Id="rId24" Type="http://schemas.openxmlformats.org/officeDocument/2006/relationships/hyperlink" Target="https://github.com/MichaelTran1226/Racehorse_Training_Management_System_MT_BE/issues/54" TargetMode="External"/><Relationship Id="rId25" Type="http://schemas.openxmlformats.org/officeDocument/2006/relationships/hyperlink" Target="https://github.com/MichaelTran1226/Racehorse_Training_Management_System_MT_BE/issues/5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MichaelTran1226/Racehorse_Training_Management_System_MT_BE/issues/31" TargetMode="External"/><Relationship Id="rId2" Type="http://schemas.openxmlformats.org/officeDocument/2006/relationships/hyperlink" Target="https://github.com/MichaelTran1226/Racehorse_Training_Management_System_MT_BE/issues/32" TargetMode="External"/><Relationship Id="rId3" Type="http://schemas.openxmlformats.org/officeDocument/2006/relationships/hyperlink" Target="https://github.com/MichaelTran1226/Racehorse_Training_Management_System_MT_BE/issues/32" TargetMode="External"/><Relationship Id="rId4" Type="http://schemas.openxmlformats.org/officeDocument/2006/relationships/hyperlink" Target="https://github.com/MichaelTran1226/Racehorse_Training_Management_System_MT_BE/issues/32" TargetMode="External"/><Relationship Id="rId5" Type="http://schemas.openxmlformats.org/officeDocument/2006/relationships/hyperlink" Target="https://github.com/MichaelTran1226/Racehorse_Training_Management_System_MT_BE/issues/32" TargetMode="External"/><Relationship Id="rId6" Type="http://schemas.openxmlformats.org/officeDocument/2006/relationships/hyperlink" Target="https://github.com/MichaelTran1226/Racehorse_Training_Management_System_MT_BE/issues/32" TargetMode="External"/><Relationship Id="rId7" Type="http://schemas.openxmlformats.org/officeDocument/2006/relationships/hyperlink" Target="https://github.com/MichaelTran1226/Racehorse_Training_Management_System_MT_BE/issues/32" TargetMode="External"/><Relationship Id="rId8" Type="http://schemas.openxmlformats.org/officeDocument/2006/relationships/hyperlink" Target="https://github.com/MichaelTran1226/Racehorse_Training_Management_System_MT_BE/issues/32" TargetMode="External"/><Relationship Id="rId9" Type="http://schemas.openxmlformats.org/officeDocument/2006/relationships/hyperlink" Target="https://github.com/MichaelTran1226/Racehorse_Training_Management_System_MT_BE/issues/32" TargetMode="External"/><Relationship Id="rId10" Type="http://schemas.openxmlformats.org/officeDocument/2006/relationships/hyperlink" Target="https://github.com/MichaelTran1226/Racehorse_Training_Management_System_MT_BE/issues/33" TargetMode="External"/><Relationship Id="rId11" Type="http://schemas.openxmlformats.org/officeDocument/2006/relationships/hyperlink" Target="https://github.com/MichaelTran1226/Racehorse_Training_Management_System_MT_BE/issues/33" TargetMode="External"/><Relationship Id="rId12" Type="http://schemas.openxmlformats.org/officeDocument/2006/relationships/hyperlink" Target="https://github.com/MichaelTran1226/Racehorse_Training_Management_System_MT_BE/issues/33" TargetMode="External"/><Relationship Id="rId13" Type="http://schemas.openxmlformats.org/officeDocument/2006/relationships/hyperlink" Target="https://github.com/MichaelTran1226/Racehorse_Training_Management_System_MT_BE/issues/33" TargetMode="External"/><Relationship Id="rId14" Type="http://schemas.openxmlformats.org/officeDocument/2006/relationships/hyperlink" Target="https://github.com/MichaelTran1226/Racehorse_Training_Management_System_MT_BE/issues/34" TargetMode="External"/><Relationship Id="rId15" Type="http://schemas.openxmlformats.org/officeDocument/2006/relationships/hyperlink" Target="https://github.com/MichaelTran1226/Racehorse_Training_Management_System_MT_BE/issues/34" TargetMode="External"/><Relationship Id="rId16" Type="http://schemas.openxmlformats.org/officeDocument/2006/relationships/hyperlink" Target="https://github.com/MichaelTran1226/Racehorse_Training_Management_System_MT_BE/issues/34" TargetMode="External"/><Relationship Id="rId17" Type="http://schemas.openxmlformats.org/officeDocument/2006/relationships/hyperlink" Target="https://github.com/MichaelTran1226/Racehorse_Training_Management_System_MT_BE/issues/34" TargetMode="External"/><Relationship Id="rId18" Type="http://schemas.openxmlformats.org/officeDocument/2006/relationships/hyperlink" Target="https://github.com/MichaelTran1226/Racehorse_Training_Management_System_MT_BE/issues/35" TargetMode="External"/><Relationship Id="rId19" Type="http://schemas.openxmlformats.org/officeDocument/2006/relationships/hyperlink" Target="https://github.com/MichaelTran1226/Racehorse_Training_Management_System_MT_BE/issues/35" TargetMode="External"/><Relationship Id="rId20" Type="http://schemas.openxmlformats.org/officeDocument/2006/relationships/hyperlink" Target="https://github.com/MichaelTran1226/Racehorse_Training_Management_System_MT_BE/issues/35" TargetMode="External"/><Relationship Id="rId21" Type="http://schemas.openxmlformats.org/officeDocument/2006/relationships/hyperlink" Target="https://github.com/MichaelTran1226/Racehorse_Training_Management_System_MT_BE/issues/35" TargetMode="External"/><Relationship Id="rId22" Type="http://schemas.openxmlformats.org/officeDocument/2006/relationships/hyperlink" Target="https://github.com/MichaelTran1226/Racehorse_Training_Management_System_MT_BE/issues/36" TargetMode="External"/><Relationship Id="rId23" Type="http://schemas.openxmlformats.org/officeDocument/2006/relationships/hyperlink" Target="https://github.com/MichaelTran1226/Racehorse_Training_Management_System_MT_BE/issues/36" TargetMode="External"/><Relationship Id="rId24" Type="http://schemas.openxmlformats.org/officeDocument/2006/relationships/hyperlink" Target="https://github.com/MichaelTran1226/Racehorse_Training_Management_System_MT_BE/issues/36" TargetMode="External"/><Relationship Id="rId25" Type="http://schemas.openxmlformats.org/officeDocument/2006/relationships/hyperlink" Target="https://github.com/MichaelTran1226/Racehorse_Training_Management_System_MT_BE/issues/36" TargetMode="External"/><Relationship Id="rId26" Type="http://schemas.openxmlformats.org/officeDocument/2006/relationships/hyperlink" Target="https://github.com/MichaelTran1226/Racehorse_Training_Management_System_MT_BE/issues/36" TargetMode="External"/><Relationship Id="rId27" Type="http://schemas.openxmlformats.org/officeDocument/2006/relationships/hyperlink" Target="https://github.com/MichaelTran1226/Racehorse_Training_Management_System_MT_BE/issues/36" TargetMode="External"/><Relationship Id="rId28" Type="http://schemas.openxmlformats.org/officeDocument/2006/relationships/hyperlink" Target="https://github.com/MichaelTran1226/Racehorse_Training_Management_System_MT_BE/issues/37" TargetMode="External"/><Relationship Id="rId29" Type="http://schemas.openxmlformats.org/officeDocument/2006/relationships/hyperlink" Target="https://github.com/MichaelTran1226/Racehorse_Training_Management_System_MT_BE/issues/37" TargetMode="External"/><Relationship Id="rId30" Type="http://schemas.openxmlformats.org/officeDocument/2006/relationships/hyperlink" Target="https://github.com/MichaelTran1226/Racehorse_Training_Management_System_MT_BE/issues/37" TargetMode="External"/><Relationship Id="rId31" Type="http://schemas.openxmlformats.org/officeDocument/2006/relationships/hyperlink" Target="https://github.com/MichaelTran1226/Racehorse_Training_Management_System_MT_BE/issues/38" TargetMode="External"/><Relationship Id="rId32" Type="http://schemas.openxmlformats.org/officeDocument/2006/relationships/hyperlink" Target="https://github.com/MichaelTran1226/Racehorse_Training_Management_System_MT_BE/issues/38" TargetMode="External"/><Relationship Id="rId33" Type="http://schemas.openxmlformats.org/officeDocument/2006/relationships/hyperlink" Target="https://github.com/MichaelTran1226/Racehorse_Training_Management_System_MT_BE/issues/38" TargetMode="External"/><Relationship Id="rId34" Type="http://schemas.openxmlformats.org/officeDocument/2006/relationships/hyperlink" Target="https://github.com/MichaelTran1226/Racehorse_Training_Management_System_MT_BE/issues/38" TargetMode="External"/><Relationship Id="rId35" Type="http://schemas.openxmlformats.org/officeDocument/2006/relationships/hyperlink" Target="https://github.com/MichaelTran1226/Racehorse_Training_Management_System_MT_BE/issues/39" TargetMode="External"/><Relationship Id="rId36" Type="http://schemas.openxmlformats.org/officeDocument/2006/relationships/hyperlink" Target="https://github.com/MichaelTran1226/Racehorse_Training_Management_System_MT_BE/issues/39" TargetMode="External"/><Relationship Id="rId37" Type="http://schemas.openxmlformats.org/officeDocument/2006/relationships/hyperlink" Target="https://github.com/MichaelTran1226/Racehorse_Training_Management_System_MT_BE/issues/39" TargetMode="External"/><Relationship Id="rId38" Type="http://schemas.openxmlformats.org/officeDocument/2006/relationships/hyperlink" Target="https://github.com/MichaelTran1226/Racehorse_Training_Management_System_MT_BE/issues/39" TargetMode="External"/><Relationship Id="rId39" Type="http://schemas.openxmlformats.org/officeDocument/2006/relationships/hyperlink" Target="https://github.com/MichaelTran1226/Racehorse_Training_Management_System_MT_BE/issues/39" TargetMode="External"/><Relationship Id="rId40" Type="http://schemas.openxmlformats.org/officeDocument/2006/relationships/hyperlink" Target="https://github.com/MichaelTran1226/Racehorse_Training_Management_System_MT_BE/issues/39" TargetMode="External"/><Relationship Id="rId41" Type="http://schemas.openxmlformats.org/officeDocument/2006/relationships/hyperlink" Target="https://github.com/MichaelTran1226/Racehorse_Training_Management_System_MT_BE/issues/39" TargetMode="External"/><Relationship Id="rId42" Type="http://schemas.openxmlformats.org/officeDocument/2006/relationships/hyperlink" Target="https://github.com/MichaelTran1226/Racehorse_Training_Management_System_MT_BE/issues/39" TargetMode="External"/><Relationship Id="rId43" Type="http://schemas.openxmlformats.org/officeDocument/2006/relationships/hyperlink" Target="https://github.com/MichaelTran1226/Racehorse_Training_Management_System_MT_BE/issues/40" TargetMode="External"/><Relationship Id="rId44" Type="http://schemas.openxmlformats.org/officeDocument/2006/relationships/hyperlink" Target="https://github.com/MichaelTran1226/Racehorse_Training_Management_System_MT_BE/issues/40" TargetMode="External"/><Relationship Id="rId45" Type="http://schemas.openxmlformats.org/officeDocument/2006/relationships/hyperlink" Target="https://github.com/MichaelTran1226/Racehorse_Training_Management_System_MT_BE/issues/40" TargetMode="External"/><Relationship Id="rId46" Type="http://schemas.openxmlformats.org/officeDocument/2006/relationships/hyperlink" Target="https://github.com/MichaelTran1226/Racehorse_Training_Management_System_MT_BE/issues/40" TargetMode="External"/><Relationship Id="rId47" Type="http://schemas.openxmlformats.org/officeDocument/2006/relationships/hyperlink" Target="https://github.com/MichaelTran1226/Racehorse_Training_Management_System_MT_BE/issues/40" TargetMode="External"/><Relationship Id="rId48" Type="http://schemas.openxmlformats.org/officeDocument/2006/relationships/hyperlink" Target="https://github.com/MichaelTran1226/Racehorse_Training_Management_System_MT_BE/issues/40" TargetMode="External"/><Relationship Id="rId49" Type="http://schemas.openxmlformats.org/officeDocument/2006/relationships/hyperlink" Target="https://github.com/MichaelTran1226/Racehorse_Training_Management_System_MT_BE/issues/41" TargetMode="External"/><Relationship Id="rId50" Type="http://schemas.openxmlformats.org/officeDocument/2006/relationships/hyperlink" Target="https://github.com/MichaelTran1226/Racehorse_Training_Management_System_MT_BE/issues/41" TargetMode="External"/><Relationship Id="rId51" Type="http://schemas.openxmlformats.org/officeDocument/2006/relationships/hyperlink" Target="https://github.com/MichaelTran1226/Racehorse_Training_Management_System_MT_BE/issues/42" TargetMode="External"/><Relationship Id="rId52" Type="http://schemas.openxmlformats.org/officeDocument/2006/relationships/hyperlink" Target="https://github.com/MichaelTran1226/Racehorse_Training_Management_System_MT_BE/issues/42" TargetMode="External"/><Relationship Id="rId53" Type="http://schemas.openxmlformats.org/officeDocument/2006/relationships/hyperlink" Target="https://github.com/MichaelTran1226/Racehorse_Training_Management_System_MT_BE/issues/42" TargetMode="External"/><Relationship Id="rId54" Type="http://schemas.openxmlformats.org/officeDocument/2006/relationships/hyperlink" Target="https://github.com/MichaelTran1226/Racehorse_Training_Management_System_MT_BE/issues/42" TargetMode="External"/><Relationship Id="rId55" Type="http://schemas.openxmlformats.org/officeDocument/2006/relationships/hyperlink" Target="https://github.com/MichaelTran1226/Racehorse_Training_Management_System_MT_BE/issues/42" TargetMode="External"/><Relationship Id="rId56" Type="http://schemas.openxmlformats.org/officeDocument/2006/relationships/hyperlink" Target="https://github.com/MichaelTran1226/Racehorse_Training_Management_System_MT_BE/issues/42" TargetMode="External"/><Relationship Id="rId57" Type="http://schemas.openxmlformats.org/officeDocument/2006/relationships/hyperlink" Target="https://github.com/MichaelTran1226/Racehorse_Training_Management_System_MT_BE/issues/43" TargetMode="External"/><Relationship Id="rId58" Type="http://schemas.openxmlformats.org/officeDocument/2006/relationships/hyperlink" Target="https://github.com/MichaelTran1226/Racehorse_Training_Management_System_MT_BE/issues/43" TargetMode="External"/><Relationship Id="rId59" Type="http://schemas.openxmlformats.org/officeDocument/2006/relationships/hyperlink" Target="https://github.com/MichaelTran1226/Racehorse_Training_Management_System_MT_BE/issues/44" TargetMode="External"/><Relationship Id="rId60" Type="http://schemas.openxmlformats.org/officeDocument/2006/relationships/hyperlink" Target="https://github.com/MichaelTran1226/Racehorse_Training_Management_System_MT_BE/issues/44" TargetMode="External"/><Relationship Id="rId61" Type="http://schemas.openxmlformats.org/officeDocument/2006/relationships/hyperlink" Target="https://github.com/MichaelTran1226/Racehorse_Training_Management_System_MT_BE/issues/45" TargetMode="External"/><Relationship Id="rId62" Type="http://schemas.openxmlformats.org/officeDocument/2006/relationships/hyperlink" Target="https://github.com/MichaelTran1226/Racehorse_Training_Management_System_MT_BE/issues/45" TargetMode="External"/><Relationship Id="rId63" Type="http://schemas.openxmlformats.org/officeDocument/2006/relationships/hyperlink" Target="https://github.com/MichaelTran1226/Racehorse_Training_Management_System_MT_BE/issues/46" TargetMode="External"/><Relationship Id="rId64" Type="http://schemas.openxmlformats.org/officeDocument/2006/relationships/hyperlink" Target="https://github.com/MichaelTran1226/Racehorse_Training_Management_System_MT_BE/issues/46" TargetMode="External"/><Relationship Id="rId65" Type="http://schemas.openxmlformats.org/officeDocument/2006/relationships/hyperlink" Target="https://github.com/MichaelTran1226/Racehorse_Training_Management_System_MT_BE/issues/47" TargetMode="External"/><Relationship Id="rId66" Type="http://schemas.openxmlformats.org/officeDocument/2006/relationships/hyperlink" Target="https://github.com/MichaelTran1226/Racehorse_Training_Management_System_MT_BE/issues/47" TargetMode="External"/><Relationship Id="rId67" Type="http://schemas.openxmlformats.org/officeDocument/2006/relationships/hyperlink" Target="https://github.com/MichaelTran1226/Racehorse_Training_Management_System_MT_BE/issues/48" TargetMode="External"/><Relationship Id="rId68" Type="http://schemas.openxmlformats.org/officeDocument/2006/relationships/hyperlink" Target="https://github.com/MichaelTran1226/Racehorse_Training_Management_System_MT_BE/issues/48" TargetMode="External"/><Relationship Id="rId69" Type="http://schemas.openxmlformats.org/officeDocument/2006/relationships/hyperlink" Target="https://github.com/MichaelTran1226/Racehorse_Training_Management_System_MT_BE/issues/49" TargetMode="External"/><Relationship Id="rId70" Type="http://schemas.openxmlformats.org/officeDocument/2006/relationships/hyperlink" Target="https://github.com/MichaelTran1226/Racehorse_Training_Management_System_MT_BE/issues/49" TargetMode="External"/><Relationship Id="rId71" Type="http://schemas.openxmlformats.org/officeDocument/2006/relationships/hyperlink" Target="https://github.com/MichaelTran1226/Racehorse_Training_Management_System_MT_BE/issues/50" TargetMode="External"/><Relationship Id="rId72" Type="http://schemas.openxmlformats.org/officeDocument/2006/relationships/hyperlink" Target="https://github.com/MichaelTran1226/Racehorse_Training_Management_System_MT_BE/issues/50" TargetMode="External"/><Relationship Id="rId73" Type="http://schemas.openxmlformats.org/officeDocument/2006/relationships/hyperlink" Target="https://github.com/MichaelTran1226/Racehorse_Training_Management_System_MT_BE/issues/51" TargetMode="External"/><Relationship Id="rId74" Type="http://schemas.openxmlformats.org/officeDocument/2006/relationships/hyperlink" Target="https://github.com/MichaelTran1226/Racehorse_Training_Management_System_MT_BE/issues/51" TargetMode="External"/><Relationship Id="rId75" Type="http://schemas.openxmlformats.org/officeDocument/2006/relationships/hyperlink" Target="https://github.com/MichaelTran1226/Racehorse_Training_Management_System_MT_BE/issues/51" TargetMode="External"/><Relationship Id="rId76" Type="http://schemas.openxmlformats.org/officeDocument/2006/relationships/hyperlink" Target="https://github.com/MichaelTran1226/Racehorse_Training_Management_System_MT_BE/issues/51" TargetMode="External"/><Relationship Id="rId77" Type="http://schemas.openxmlformats.org/officeDocument/2006/relationships/hyperlink" Target="https://github.com/MichaelTran1226/Racehorse_Training_Management_System_MT_BE/issues/52" TargetMode="External"/><Relationship Id="rId78" Type="http://schemas.openxmlformats.org/officeDocument/2006/relationships/hyperlink" Target="https://github.com/MichaelTran1226/Racehorse_Training_Management_System_MT_BE/issues/52" TargetMode="External"/><Relationship Id="rId79" Type="http://schemas.openxmlformats.org/officeDocument/2006/relationships/hyperlink" Target="https://github.com/MichaelTran1226/Racehorse_Training_Management_System_MT_BE/issues/52" TargetMode="External"/><Relationship Id="rId80" Type="http://schemas.openxmlformats.org/officeDocument/2006/relationships/hyperlink" Target="https://github.com/MichaelTran1226/Racehorse_Training_Management_System_MT_BE/issues/52" TargetMode="External"/><Relationship Id="rId81" Type="http://schemas.openxmlformats.org/officeDocument/2006/relationships/hyperlink" Target="https://github.com/MichaelTran1226/Racehorse_Training_Management_System_MT_BE/issues/53" TargetMode="External"/><Relationship Id="rId82" Type="http://schemas.openxmlformats.org/officeDocument/2006/relationships/hyperlink" Target="https://github.com/MichaelTran1226/Racehorse_Training_Management_System_MT_BE/issues/53" TargetMode="External"/><Relationship Id="rId83" Type="http://schemas.openxmlformats.org/officeDocument/2006/relationships/hyperlink" Target="https://github.com/MichaelTran1226/Racehorse_Training_Management_System_MT_BE/issues/54" TargetMode="External"/><Relationship Id="rId84" Type="http://schemas.openxmlformats.org/officeDocument/2006/relationships/hyperlink" Target="https://github.com/MichaelTran1226/Racehorse_Training_Management_System_MT_BE/issues/54" TargetMode="External"/><Relationship Id="rId85" Type="http://schemas.openxmlformats.org/officeDocument/2006/relationships/hyperlink" Target="https://github.com/MichaelTran1226/Racehorse_Training_Management_System_MT_BE/issues/54" TargetMode="External"/><Relationship Id="rId86" Type="http://schemas.openxmlformats.org/officeDocument/2006/relationships/hyperlink" Target="https://github.com/MichaelTran1226/Racehorse_Training_Management_System_MT_BE/issues/54" TargetMode="External"/><Relationship Id="rId87" Type="http://schemas.openxmlformats.org/officeDocument/2006/relationships/hyperlink" Target="https://github.com/MichaelTran1226/Racehorse_Training_Management_System_MT_BE/issues/55" TargetMode="External"/><Relationship Id="rId88" Type="http://schemas.openxmlformats.org/officeDocument/2006/relationships/hyperlink" Target="https://github.com/MichaelTran1226/Racehorse_Training_Management_System_MT_BE/issues/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52" customWidth="1"/>
    <col min="4" max="5" width="18" customWidth="1"/>
    <col min="6" max="6" width="10" customWidth="1"/>
    <col min="7" max="9" width="12" customWidth="1"/>
    <col min="10" max="10" width="40" customWidth="1"/>
    <col min="12" max="12" width="1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>
        <f>IFERROR(INDEX('Thành viên'!$B$2:$B$4,MATCH(C2,'Thành viên'!$A$2:$A$4,0))&amp;"","")</f>
      </c>
      <c r="E2" s="2">
        <f>IFERROR(INDEX('Thành viên'!$C$2:$C$4,MATCH(C2,'Thành viên'!$A$2:$A$4,0))&amp;"","")</f>
      </c>
      <c r="F2" s="2" t="s">
        <v>15</v>
      </c>
      <c r="G2" s="3">
        <v>46293</v>
      </c>
      <c r="H2" s="3">
        <v>46299</v>
      </c>
      <c r="I2" s="2" t="s">
        <v>16</v>
      </c>
      <c r="J2" s="2" t="s">
        <v>17</v>
      </c>
      <c r="K2" s="4" t="s">
        <v>18</v>
      </c>
      <c r="L2" s="5" t="s">
        <v>19</v>
      </c>
    </row>
    <row r="3" spans="1:12" x14ac:dyDescent="0.25">
      <c r="A3" s="2" t="s">
        <v>20</v>
      </c>
      <c r="B3" s="2" t="s">
        <v>21</v>
      </c>
      <c r="C3" s="2" t="s">
        <v>22</v>
      </c>
      <c r="D3" s="2">
        <f>IFERROR(INDEX('Thành viên'!$B$2:$B$4,MATCH(C3,'Thành viên'!$A$2:$A$4,0))&amp;"","")</f>
      </c>
      <c r="E3" s="2">
        <f>IFERROR(INDEX('Thành viên'!$C$2:$C$4,MATCH(C3,'Thành viên'!$A$2:$A$4,0))&amp;"","")</f>
      </c>
      <c r="F3" s="2" t="s">
        <v>15</v>
      </c>
      <c r="G3" s="3">
        <v>46293</v>
      </c>
      <c r="H3" s="3">
        <v>46299</v>
      </c>
      <c r="I3" s="2" t="s">
        <v>16</v>
      </c>
      <c r="J3" s="2" t="s">
        <v>23</v>
      </c>
      <c r="K3" s="4" t="s">
        <v>24</v>
      </c>
      <c r="L3" s="5" t="s">
        <v>19</v>
      </c>
    </row>
    <row r="4" spans="1:12" x14ac:dyDescent="0.25">
      <c r="A4" s="2" t="s">
        <v>25</v>
      </c>
      <c r="B4" s="2" t="s">
        <v>26</v>
      </c>
      <c r="C4" s="2" t="s">
        <v>22</v>
      </c>
      <c r="D4" s="2">
        <f>IFERROR(INDEX('Thành viên'!$B$2:$B$4,MATCH(C4,'Thành viên'!$A$2:$A$4,0))&amp;"","")</f>
      </c>
      <c r="E4" s="2">
        <f>IFERROR(INDEX('Thành viên'!$C$2:$C$4,MATCH(C4,'Thành viên'!$A$2:$A$4,0))&amp;"","")</f>
      </c>
      <c r="F4" s="2" t="s">
        <v>15</v>
      </c>
      <c r="G4" s="3">
        <v>46293</v>
      </c>
      <c r="H4" s="3">
        <v>46299</v>
      </c>
      <c r="I4" s="2" t="s">
        <v>16</v>
      </c>
      <c r="J4" s="2" t="s">
        <v>23</v>
      </c>
      <c r="K4" s="4" t="s">
        <v>27</v>
      </c>
      <c r="L4" s="5" t="s">
        <v>19</v>
      </c>
    </row>
    <row r="5" spans="1:12" x14ac:dyDescent="0.25">
      <c r="A5" s="2" t="s">
        <v>28</v>
      </c>
      <c r="B5" s="2" t="s">
        <v>29</v>
      </c>
      <c r="C5" s="2" t="s">
        <v>22</v>
      </c>
      <c r="D5" s="2">
        <f>IFERROR(INDEX('Thành viên'!$B$2:$B$4,MATCH(C5,'Thành viên'!$A$2:$A$4,0))&amp;"","")</f>
      </c>
      <c r="E5" s="2">
        <f>IFERROR(INDEX('Thành viên'!$C$2:$C$4,MATCH(C5,'Thành viên'!$A$2:$A$4,0))&amp;"","")</f>
      </c>
      <c r="F5" s="2" t="s">
        <v>15</v>
      </c>
      <c r="G5" s="3">
        <v>46293</v>
      </c>
      <c r="H5" s="3">
        <v>46299</v>
      </c>
      <c r="I5" s="2" t="s">
        <v>16</v>
      </c>
      <c r="J5" s="2" t="s">
        <v>23</v>
      </c>
      <c r="K5" s="4" t="s">
        <v>30</v>
      </c>
      <c r="L5" s="5" t="s">
        <v>19</v>
      </c>
    </row>
    <row r="6" spans="1:12" x14ac:dyDescent="0.25">
      <c r="A6" s="2" t="s">
        <v>31</v>
      </c>
      <c r="B6" s="2" t="s">
        <v>32</v>
      </c>
      <c r="C6" s="2" t="s">
        <v>22</v>
      </c>
      <c r="D6" s="2">
        <f>IFERROR(INDEX('Thành viên'!$B$2:$B$4,MATCH(C6,'Thành viên'!$A$2:$A$4,0))&amp;"","")</f>
      </c>
      <c r="E6" s="2">
        <f>IFERROR(INDEX('Thành viên'!$C$2:$C$4,MATCH(C6,'Thành viên'!$A$2:$A$4,0))&amp;"","")</f>
      </c>
      <c r="F6" s="2" t="s">
        <v>15</v>
      </c>
      <c r="G6" s="3">
        <v>46293</v>
      </c>
      <c r="H6" s="3">
        <v>46299</v>
      </c>
      <c r="I6" s="2" t="s">
        <v>16</v>
      </c>
      <c r="J6" s="2" t="s">
        <v>23</v>
      </c>
      <c r="K6" s="4" t="s">
        <v>33</v>
      </c>
      <c r="L6" s="5" t="s">
        <v>19</v>
      </c>
    </row>
    <row r="7" spans="1:12" x14ac:dyDescent="0.25">
      <c r="A7" s="2" t="s">
        <v>34</v>
      </c>
      <c r="B7" s="2" t="s">
        <v>35</v>
      </c>
      <c r="C7" s="2" t="s">
        <v>22</v>
      </c>
      <c r="D7" s="2">
        <f>IFERROR(INDEX('Thành viên'!$B$2:$B$4,MATCH(C7,'Thành viên'!$A$2:$A$4,0))&amp;"","")</f>
      </c>
      <c r="E7" s="2">
        <f>IFERROR(INDEX('Thành viên'!$C$2:$C$4,MATCH(C7,'Thành viên'!$A$2:$A$4,0))&amp;"","")</f>
      </c>
      <c r="F7" s="2" t="s">
        <v>15</v>
      </c>
      <c r="G7" s="3">
        <v>46293</v>
      </c>
      <c r="H7" s="3">
        <v>46299</v>
      </c>
      <c r="I7" s="2" t="s">
        <v>16</v>
      </c>
      <c r="J7" s="2" t="s">
        <v>23</v>
      </c>
      <c r="K7" s="4" t="s">
        <v>36</v>
      </c>
      <c r="L7" s="5" t="s">
        <v>19</v>
      </c>
    </row>
    <row r="8" spans="1:12" x14ac:dyDescent="0.25">
      <c r="A8" s="2" t="s">
        <v>37</v>
      </c>
      <c r="B8" s="2" t="s">
        <v>38</v>
      </c>
      <c r="C8" s="2" t="s">
        <v>22</v>
      </c>
      <c r="D8" s="2">
        <f>IFERROR(INDEX('Thành viên'!$B$2:$B$4,MATCH(C8,'Thành viên'!$A$2:$A$4,0))&amp;"","")</f>
      </c>
      <c r="E8" s="2">
        <f>IFERROR(INDEX('Thành viên'!$C$2:$C$4,MATCH(C8,'Thành viên'!$A$2:$A$4,0))&amp;"","")</f>
      </c>
      <c r="F8" s="2" t="s">
        <v>15</v>
      </c>
      <c r="G8" s="3">
        <v>46293</v>
      </c>
      <c r="H8" s="3">
        <v>46299</v>
      </c>
      <c r="I8" s="2" t="s">
        <v>16</v>
      </c>
      <c r="J8" s="2" t="s">
        <v>23</v>
      </c>
      <c r="K8" s="4" t="s">
        <v>39</v>
      </c>
      <c r="L8" s="5" t="s">
        <v>19</v>
      </c>
    </row>
    <row r="9" spans="1:12" x14ac:dyDescent="0.25">
      <c r="A9" s="2" t="s">
        <v>40</v>
      </c>
      <c r="B9" s="2" t="s">
        <v>41</v>
      </c>
      <c r="C9" s="2" t="s">
        <v>22</v>
      </c>
      <c r="D9" s="2">
        <f>IFERROR(INDEX('Thành viên'!$B$2:$B$4,MATCH(C9,'Thành viên'!$A$2:$A$4,0))&amp;"","")</f>
      </c>
      <c r="E9" s="2">
        <f>IFERROR(INDEX('Thành viên'!$C$2:$C$4,MATCH(C9,'Thành viên'!$A$2:$A$4,0))&amp;"","")</f>
      </c>
      <c r="F9" s="2" t="s">
        <v>42</v>
      </c>
      <c r="G9" s="3">
        <v>46300</v>
      </c>
      <c r="H9" s="3">
        <v>46306</v>
      </c>
      <c r="I9" s="2" t="s">
        <v>43</v>
      </c>
      <c r="J9" s="2" t="s">
        <v>44</v>
      </c>
      <c r="K9" s="4" t="s">
        <v>45</v>
      </c>
      <c r="L9" s="5" t="s">
        <v>19</v>
      </c>
    </row>
    <row r="10" spans="1:12" x14ac:dyDescent="0.25">
      <c r="A10" s="2" t="s">
        <v>46</v>
      </c>
      <c r="B10" s="2" t="s">
        <v>47</v>
      </c>
      <c r="C10" s="2" t="s">
        <v>22</v>
      </c>
      <c r="D10" s="2">
        <f>IFERROR(INDEX('Thành viên'!$B$2:$B$4,MATCH(C10,'Thành viên'!$A$2:$A$4,0))&amp;"","")</f>
      </c>
      <c r="E10" s="2">
        <f>IFERROR(INDEX('Thành viên'!$C$2:$C$4,MATCH(C10,'Thành viên'!$A$2:$A$4,0))&amp;"","")</f>
      </c>
      <c r="F10" s="2" t="s">
        <v>42</v>
      </c>
      <c r="G10" s="3">
        <v>46300</v>
      </c>
      <c r="H10" s="3">
        <v>46306</v>
      </c>
      <c r="I10" s="2" t="s">
        <v>16</v>
      </c>
      <c r="J10" s="2" t="s">
        <v>48</v>
      </c>
      <c r="K10" s="4" t="s">
        <v>49</v>
      </c>
      <c r="L10" s="5" t="s">
        <v>19</v>
      </c>
    </row>
    <row r="11" spans="1:12" x14ac:dyDescent="0.25">
      <c r="A11" s="2" t="s">
        <v>50</v>
      </c>
      <c r="B11" s="2" t="s">
        <v>51</v>
      </c>
      <c r="C11" s="2" t="s">
        <v>22</v>
      </c>
      <c r="D11" s="2">
        <f>IFERROR(INDEX('Thành viên'!$B$2:$B$4,MATCH(C11,'Thành viên'!$A$2:$A$4,0))&amp;"","")</f>
      </c>
      <c r="E11" s="2">
        <f>IFERROR(INDEX('Thành viên'!$C$2:$C$4,MATCH(C11,'Thành viên'!$A$2:$A$4,0))&amp;"","")</f>
      </c>
      <c r="F11" s="2" t="s">
        <v>42</v>
      </c>
      <c r="G11" s="3">
        <v>46300</v>
      </c>
      <c r="H11" s="3">
        <v>46306</v>
      </c>
      <c r="I11" s="2" t="s">
        <v>43</v>
      </c>
      <c r="J11" s="2" t="s">
        <v>52</v>
      </c>
      <c r="K11" s="4" t="s">
        <v>53</v>
      </c>
      <c r="L11" s="5" t="s">
        <v>19</v>
      </c>
    </row>
    <row r="12" spans="1:12" x14ac:dyDescent="0.25">
      <c r="A12" s="2" t="s">
        <v>54</v>
      </c>
      <c r="B12" s="2" t="s">
        <v>55</v>
      </c>
      <c r="C12" s="2" t="s">
        <v>22</v>
      </c>
      <c r="D12" s="2">
        <f>IFERROR(INDEX('Thành viên'!$B$2:$B$4,MATCH(C12,'Thành viên'!$A$2:$A$4,0))&amp;"","")</f>
      </c>
      <c r="E12" s="2">
        <f>IFERROR(INDEX('Thành viên'!$C$2:$C$4,MATCH(C12,'Thành viên'!$A$2:$A$4,0))&amp;"","")</f>
      </c>
      <c r="F12" s="2" t="s">
        <v>56</v>
      </c>
      <c r="G12" s="3">
        <v>46307</v>
      </c>
      <c r="H12" s="3">
        <v>46313</v>
      </c>
      <c r="I12" s="2" t="s">
        <v>43</v>
      </c>
      <c r="J12" s="2" t="s">
        <v>57</v>
      </c>
      <c r="K12" s="4" t="s">
        <v>58</v>
      </c>
      <c r="L12" s="5" t="s">
        <v>19</v>
      </c>
    </row>
    <row r="13" spans="1:12" x14ac:dyDescent="0.25">
      <c r="A13" s="2" t="s">
        <v>59</v>
      </c>
      <c r="B13" s="2" t="s">
        <v>60</v>
      </c>
      <c r="C13" s="2" t="s">
        <v>22</v>
      </c>
      <c r="D13" s="2">
        <f>IFERROR(INDEX('Thành viên'!$B$2:$B$4,MATCH(C13,'Thành viên'!$A$2:$A$4,0))&amp;"","")</f>
      </c>
      <c r="E13" s="2">
        <f>IFERROR(INDEX('Thành viên'!$C$2:$C$4,MATCH(C13,'Thành viên'!$A$2:$A$4,0))&amp;"","")</f>
      </c>
      <c r="F13" s="2" t="s">
        <v>56</v>
      </c>
      <c r="G13" s="3">
        <v>46307</v>
      </c>
      <c r="H13" s="3">
        <v>46313</v>
      </c>
      <c r="I13" s="2" t="s">
        <v>61</v>
      </c>
      <c r="J13" s="2" t="s">
        <v>62</v>
      </c>
      <c r="K13" s="4" t="s">
        <v>63</v>
      </c>
      <c r="L13" s="5" t="s">
        <v>19</v>
      </c>
    </row>
    <row r="14" spans="1:12" x14ac:dyDescent="0.25">
      <c r="A14" s="2" t="s">
        <v>64</v>
      </c>
      <c r="B14" s="2" t="s">
        <v>65</v>
      </c>
      <c r="C14" s="2" t="s">
        <v>22</v>
      </c>
      <c r="D14" s="2">
        <f>IFERROR(INDEX('Thành viên'!$B$2:$B$4,MATCH(C14,'Thành viên'!$A$2:$A$4,0))&amp;"","")</f>
      </c>
      <c r="E14" s="2">
        <f>IFERROR(INDEX('Thành viên'!$C$2:$C$4,MATCH(C14,'Thành viên'!$A$2:$A$4,0))&amp;"","")</f>
      </c>
      <c r="F14" s="2" t="s">
        <v>56</v>
      </c>
      <c r="G14" s="3">
        <v>46307</v>
      </c>
      <c r="H14" s="3">
        <v>46313</v>
      </c>
      <c r="I14" s="2" t="s">
        <v>61</v>
      </c>
      <c r="J14" s="2" t="s">
        <v>66</v>
      </c>
      <c r="K14" s="4" t="s">
        <v>67</v>
      </c>
      <c r="L14" s="5" t="s">
        <v>19</v>
      </c>
    </row>
    <row r="15" spans="1:12" x14ac:dyDescent="0.25">
      <c r="A15" s="2" t="s">
        <v>68</v>
      </c>
      <c r="B15" s="2" t="s">
        <v>69</v>
      </c>
      <c r="C15" s="2" t="s">
        <v>22</v>
      </c>
      <c r="D15" s="2">
        <f>IFERROR(INDEX('Thành viên'!$B$2:$B$4,MATCH(C15,'Thành viên'!$A$2:$A$4,0))&amp;"","")</f>
      </c>
      <c r="E15" s="2">
        <f>IFERROR(INDEX('Thành viên'!$C$2:$C$4,MATCH(C15,'Thành viên'!$A$2:$A$4,0))&amp;"","")</f>
      </c>
      <c r="F15" s="2" t="s">
        <v>56</v>
      </c>
      <c r="G15" s="3">
        <v>46307</v>
      </c>
      <c r="H15" s="3">
        <v>46313</v>
      </c>
      <c r="I15" s="2" t="s">
        <v>43</v>
      </c>
      <c r="J15" s="2" t="s">
        <v>70</v>
      </c>
      <c r="K15" s="4" t="s">
        <v>71</v>
      </c>
      <c r="L15" s="5" t="s">
        <v>19</v>
      </c>
    </row>
    <row r="16" spans="1:12" x14ac:dyDescent="0.25">
      <c r="A16" s="2" t="s">
        <v>72</v>
      </c>
      <c r="B16" s="2" t="s">
        <v>73</v>
      </c>
      <c r="C16" s="2" t="s">
        <v>22</v>
      </c>
      <c r="D16" s="2">
        <f>IFERROR(INDEX('Thành viên'!$B$2:$B$4,MATCH(C16,'Thành viên'!$A$2:$A$4,0))&amp;"","")</f>
      </c>
      <c r="E16" s="2">
        <f>IFERROR(INDEX('Thành viên'!$C$2:$C$4,MATCH(C16,'Thành viên'!$A$2:$A$4,0))&amp;"","")</f>
      </c>
      <c r="F16" s="2" t="s">
        <v>56</v>
      </c>
      <c r="G16" s="3">
        <v>46307</v>
      </c>
      <c r="H16" s="3">
        <v>46313</v>
      </c>
      <c r="I16" s="2" t="s">
        <v>43</v>
      </c>
      <c r="J16" s="2" t="s">
        <v>74</v>
      </c>
      <c r="K16" s="4" t="s">
        <v>75</v>
      </c>
      <c r="L16" s="5" t="s">
        <v>19</v>
      </c>
    </row>
    <row r="17" spans="1:12" x14ac:dyDescent="0.25">
      <c r="A17" s="2" t="s">
        <v>76</v>
      </c>
      <c r="B17" s="2" t="s">
        <v>77</v>
      </c>
      <c r="C17" s="2" t="s">
        <v>78</v>
      </c>
      <c r="D17" s="2">
        <f>IFERROR(INDEX('Thành viên'!$B$2:$B$4,MATCH(C17,'Thành viên'!$A$2:$A$4,0))&amp;"","")</f>
      </c>
      <c r="E17" s="2">
        <f>IFERROR(INDEX('Thành viên'!$C$2:$C$4,MATCH(C17,'Thành viên'!$A$2:$A$4,0))&amp;"","")</f>
      </c>
      <c r="F17" s="2" t="s">
        <v>15</v>
      </c>
      <c r="G17" s="3">
        <v>46293</v>
      </c>
      <c r="H17" s="3">
        <v>46299</v>
      </c>
      <c r="I17" s="2" t="s">
        <v>43</v>
      </c>
      <c r="J17" s="2" t="s">
        <v>79</v>
      </c>
      <c r="K17" s="4" t="s">
        <v>80</v>
      </c>
      <c r="L17" s="5" t="s">
        <v>19</v>
      </c>
    </row>
    <row r="18" spans="1:12" x14ac:dyDescent="0.25">
      <c r="A18" s="2" t="s">
        <v>81</v>
      </c>
      <c r="B18" s="2" t="s">
        <v>82</v>
      </c>
      <c r="C18" s="2" t="s">
        <v>78</v>
      </c>
      <c r="D18" s="2">
        <f>IFERROR(INDEX('Thành viên'!$B$2:$B$4,MATCH(C18,'Thành viên'!$A$2:$A$4,0))&amp;"","")</f>
      </c>
      <c r="E18" s="2">
        <f>IFERROR(INDEX('Thành viên'!$C$2:$C$4,MATCH(C18,'Thành viên'!$A$2:$A$4,0))&amp;"","")</f>
      </c>
      <c r="F18" s="2" t="s">
        <v>15</v>
      </c>
      <c r="G18" s="3">
        <v>46293</v>
      </c>
      <c r="H18" s="3">
        <v>46299</v>
      </c>
      <c r="I18" s="2" t="s">
        <v>43</v>
      </c>
      <c r="J18" s="2" t="s">
        <v>83</v>
      </c>
      <c r="K18" s="4" t="s">
        <v>84</v>
      </c>
      <c r="L18" s="5" t="s">
        <v>19</v>
      </c>
    </row>
    <row r="19" spans="1:12" x14ac:dyDescent="0.25">
      <c r="A19" s="2" t="s">
        <v>85</v>
      </c>
      <c r="B19" s="2" t="s">
        <v>86</v>
      </c>
      <c r="C19" s="2" t="s">
        <v>78</v>
      </c>
      <c r="D19" s="2">
        <f>IFERROR(INDEX('Thành viên'!$B$2:$B$4,MATCH(C19,'Thành viên'!$A$2:$A$4,0))&amp;"","")</f>
      </c>
      <c r="E19" s="2">
        <f>IFERROR(INDEX('Thành viên'!$C$2:$C$4,MATCH(C19,'Thành viên'!$A$2:$A$4,0))&amp;"","")</f>
      </c>
      <c r="F19" s="2" t="s">
        <v>42</v>
      </c>
      <c r="G19" s="3">
        <v>46300</v>
      </c>
      <c r="H19" s="3">
        <v>46306</v>
      </c>
      <c r="I19" s="2" t="s">
        <v>43</v>
      </c>
      <c r="J19" s="2" t="s">
        <v>87</v>
      </c>
      <c r="K19" s="4" t="s">
        <v>88</v>
      </c>
      <c r="L19" s="5" t="s">
        <v>19</v>
      </c>
    </row>
    <row r="20" spans="1:12" x14ac:dyDescent="0.25">
      <c r="A20" s="2" t="s">
        <v>89</v>
      </c>
      <c r="B20" s="2" t="s">
        <v>90</v>
      </c>
      <c r="C20" s="2" t="s">
        <v>78</v>
      </c>
      <c r="D20" s="2">
        <f>IFERROR(INDEX('Thành viên'!$B$2:$B$4,MATCH(C20,'Thành viên'!$A$2:$A$4,0))&amp;"","")</f>
      </c>
      <c r="E20" s="2">
        <f>IFERROR(INDEX('Thành viên'!$C$2:$C$4,MATCH(C20,'Thành viên'!$A$2:$A$4,0))&amp;"","")</f>
      </c>
      <c r="F20" s="2" t="s">
        <v>42</v>
      </c>
      <c r="G20" s="3">
        <v>46300</v>
      </c>
      <c r="H20" s="3">
        <v>46306</v>
      </c>
      <c r="I20" s="2" t="s">
        <v>16</v>
      </c>
      <c r="J20" s="2" t="s">
        <v>91</v>
      </c>
      <c r="K20" s="4" t="s">
        <v>92</v>
      </c>
      <c r="L20" s="5" t="s">
        <v>19</v>
      </c>
    </row>
    <row r="21" spans="1:12" x14ac:dyDescent="0.25">
      <c r="A21" s="2" t="s">
        <v>93</v>
      </c>
      <c r="B21" s="2" t="s">
        <v>94</v>
      </c>
      <c r="C21" s="2" t="s">
        <v>78</v>
      </c>
      <c r="D21" s="2">
        <f>IFERROR(INDEX('Thành viên'!$B$2:$B$4,MATCH(C21,'Thành viên'!$A$2:$A$4,0))&amp;"","")</f>
      </c>
      <c r="E21" s="2">
        <f>IFERROR(INDEX('Thành viên'!$C$2:$C$4,MATCH(C21,'Thành viên'!$A$2:$A$4,0))&amp;"","")</f>
      </c>
      <c r="F21" s="2" t="s">
        <v>42</v>
      </c>
      <c r="G21" s="3">
        <v>46300</v>
      </c>
      <c r="H21" s="3">
        <v>46306</v>
      </c>
      <c r="I21" s="2" t="s">
        <v>43</v>
      </c>
      <c r="J21" s="2" t="s">
        <v>95</v>
      </c>
      <c r="K21" s="4" t="s">
        <v>96</v>
      </c>
      <c r="L21" s="5" t="s">
        <v>19</v>
      </c>
    </row>
    <row r="22" spans="1:12" x14ac:dyDescent="0.25">
      <c r="A22" s="2" t="s">
        <v>97</v>
      </c>
      <c r="B22" s="2" t="s">
        <v>98</v>
      </c>
      <c r="C22" s="2" t="s">
        <v>78</v>
      </c>
      <c r="D22" s="2">
        <f>IFERROR(INDEX('Thành viên'!$B$2:$B$4,MATCH(C22,'Thành viên'!$A$2:$A$4,0))&amp;"","")</f>
      </c>
      <c r="E22" s="2">
        <f>IFERROR(INDEX('Thành viên'!$C$2:$C$4,MATCH(C22,'Thành viên'!$A$2:$A$4,0))&amp;"","")</f>
      </c>
      <c r="F22" s="2" t="s">
        <v>56</v>
      </c>
      <c r="G22" s="3">
        <v>46307</v>
      </c>
      <c r="H22" s="3">
        <v>46313</v>
      </c>
      <c r="I22" s="2" t="s">
        <v>43</v>
      </c>
      <c r="J22" s="2" t="s">
        <v>99</v>
      </c>
      <c r="K22" s="4" t="s">
        <v>100</v>
      </c>
      <c r="L22" s="5" t="s">
        <v>19</v>
      </c>
    </row>
    <row r="23" spans="1:12" x14ac:dyDescent="0.25">
      <c r="A23" s="2" t="s">
        <v>101</v>
      </c>
      <c r="B23" s="2" t="s">
        <v>102</v>
      </c>
      <c r="C23" s="2" t="s">
        <v>78</v>
      </c>
      <c r="D23" s="2">
        <f>IFERROR(INDEX('Thành viên'!$B$2:$B$4,MATCH(C23,'Thành viên'!$A$2:$A$4,0))&amp;"","")</f>
      </c>
      <c r="E23" s="2">
        <f>IFERROR(INDEX('Thành viên'!$C$2:$C$4,MATCH(C23,'Thành viên'!$A$2:$A$4,0))&amp;"","")</f>
      </c>
      <c r="F23" s="2" t="s">
        <v>56</v>
      </c>
      <c r="G23" s="3">
        <v>46307</v>
      </c>
      <c r="H23" s="3">
        <v>46313</v>
      </c>
      <c r="I23" s="2" t="s">
        <v>16</v>
      </c>
      <c r="J23" s="2" t="s">
        <v>103</v>
      </c>
      <c r="K23" s="4" t="s">
        <v>104</v>
      </c>
      <c r="L23" s="5" t="s">
        <v>19</v>
      </c>
    </row>
    <row r="24" spans="1:12" x14ac:dyDescent="0.25">
      <c r="A24" s="2" t="s">
        <v>105</v>
      </c>
      <c r="B24" s="2" t="s">
        <v>106</v>
      </c>
      <c r="C24" s="2" t="s">
        <v>78</v>
      </c>
      <c r="D24" s="2">
        <f>IFERROR(INDEX('Thành viên'!$B$2:$B$4,MATCH(C24,'Thành viên'!$A$2:$A$4,0))&amp;"","")</f>
      </c>
      <c r="E24" s="2">
        <f>IFERROR(INDEX('Thành viên'!$C$2:$C$4,MATCH(C24,'Thành viên'!$A$2:$A$4,0))&amp;"","")</f>
      </c>
      <c r="F24" s="2" t="s">
        <v>56</v>
      </c>
      <c r="G24" s="3">
        <v>46307</v>
      </c>
      <c r="H24" s="3">
        <v>46313</v>
      </c>
      <c r="I24" s="2" t="s">
        <v>43</v>
      </c>
      <c r="J24" s="2" t="s">
        <v>107</v>
      </c>
      <c r="K24" s="4" t="s">
        <v>108</v>
      </c>
      <c r="L24" s="5" t="s">
        <v>19</v>
      </c>
    </row>
    <row r="25" spans="1:12" x14ac:dyDescent="0.25">
      <c r="A25" s="2" t="s">
        <v>109</v>
      </c>
      <c r="B25" s="2" t="s">
        <v>110</v>
      </c>
      <c r="C25" s="2" t="s">
        <v>78</v>
      </c>
      <c r="D25" s="2">
        <f>IFERROR(INDEX('Thành viên'!$B$2:$B$4,MATCH(C25,'Thành viên'!$A$2:$A$4,0))&amp;"","")</f>
      </c>
      <c r="E25" s="2">
        <f>IFERROR(INDEX('Thành viên'!$C$2:$C$4,MATCH(C25,'Thành viên'!$A$2:$A$4,0))&amp;"","")</f>
      </c>
      <c r="F25" s="2" t="s">
        <v>56</v>
      </c>
      <c r="G25" s="3">
        <v>46307</v>
      </c>
      <c r="H25" s="3">
        <v>46313</v>
      </c>
      <c r="I25" s="2" t="s">
        <v>43</v>
      </c>
      <c r="J25" s="2" t="s">
        <v>111</v>
      </c>
      <c r="K25" s="4" t="s">
        <v>112</v>
      </c>
      <c r="L25" s="5" t="s">
        <v>19</v>
      </c>
    </row>
    <row r="26" spans="1:12" x14ac:dyDescent="0.25">
      <c r="A26" s="2" t="s">
        <v>113</v>
      </c>
      <c r="B26" s="2" t="s">
        <v>114</v>
      </c>
      <c r="C26" s="2" t="s">
        <v>14</v>
      </c>
      <c r="D26" s="2">
        <f>IFERROR(INDEX('Thành viên'!$B$2:$B$4,MATCH(C26,'Thành viên'!$A$2:$A$4,0))&amp;"","")</f>
      </c>
      <c r="E26" s="2">
        <f>IFERROR(INDEX('Thành viên'!$C$2:$C$4,MATCH(C26,'Thành viên'!$A$2:$A$4,0))&amp;"","")</f>
      </c>
      <c r="F26" s="2" t="s">
        <v>56</v>
      </c>
      <c r="G26" s="3">
        <v>46307</v>
      </c>
      <c r="H26" s="3">
        <v>46313</v>
      </c>
      <c r="I26" s="2" t="s">
        <v>43</v>
      </c>
      <c r="J26" s="2" t="s">
        <v>115</v>
      </c>
      <c r="K26" s="4" t="s">
        <v>116</v>
      </c>
      <c r="L26" s="5" t="s">
        <v>19</v>
      </c>
    </row>
  </sheetData>
  <autoFilter ref="A1:L26"/>
  <dataValidations count="2">
    <dataValidation type="list" sqref="L10:L26">
      <formula1>"Todo,In Progress,Done"</formula1>
    </dataValidation>
    <dataValidation type="list" sqref="L2:L26">
      <formula1>"Todo,In Progress,Done"</formula1>
    </dataValidation>
  </dataValidations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8" customWidth="1"/>
    <col min="5" max="5" width="10" customWidth="1"/>
    <col min="6" max="6" width="34" customWidth="1"/>
    <col min="7" max="7" width="6" customWidth="1"/>
    <col min="8" max="8" width="60" customWidth="1"/>
    <col min="9" max="9" width="16" customWidth="1"/>
    <col min="10" max="11" width="11" customWidth="1"/>
    <col min="12" max="12" width="12" customWidth="1"/>
    <col min="13" max="13" width="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6</v>
      </c>
      <c r="K1" s="1" t="s">
        <v>7</v>
      </c>
      <c r="L1" s="1" t="s">
        <v>11</v>
      </c>
      <c r="M1" s="1" t="s">
        <v>10</v>
      </c>
    </row>
    <row r="2" spans="1:13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122</v>
      </c>
      <c r="F2" s="2" t="s">
        <v>123</v>
      </c>
      <c r="G2" s="2" t="s">
        <v>124</v>
      </c>
      <c r="H2" s="2" t="s">
        <v>125</v>
      </c>
      <c r="I2" s="2">
        <f>IFERROR(INDEX('Thành viên'!$B$2:$B$4,MATCH(C2,'Thành viên'!$A$2:$A$4,0))&amp;"","")</f>
      </c>
      <c r="J2" s="3">
        <v>46293</v>
      </c>
      <c r="K2" s="3">
        <v>46299</v>
      </c>
      <c r="L2" s="5" t="s">
        <v>19</v>
      </c>
      <c r="M2" s="4" t="s">
        <v>18</v>
      </c>
    </row>
    <row r="3" spans="1:13" x14ac:dyDescent="0.25">
      <c r="A3" s="2" t="s">
        <v>20</v>
      </c>
      <c r="B3" s="2" t="s">
        <v>21</v>
      </c>
      <c r="C3" s="2" t="s">
        <v>22</v>
      </c>
      <c r="D3" s="2" t="s">
        <v>15</v>
      </c>
      <c r="E3" s="2" t="s">
        <v>126</v>
      </c>
      <c r="F3" s="2" t="s">
        <v>127</v>
      </c>
      <c r="G3" s="2" t="s">
        <v>124</v>
      </c>
      <c r="H3" s="2" t="s">
        <v>128</v>
      </c>
      <c r="I3" s="2">
        <f>IFERROR(INDEX('Thành viên'!$B$2:$B$4,MATCH(C3,'Thành viên'!$A$2:$A$4,0))&amp;"","")</f>
      </c>
      <c r="J3" s="3">
        <v>46293</v>
      </c>
      <c r="K3" s="3">
        <v>46294</v>
      </c>
      <c r="L3" s="5" t="s">
        <v>19</v>
      </c>
      <c r="M3" s="4" t="s">
        <v>24</v>
      </c>
    </row>
    <row r="4" spans="1:13" x14ac:dyDescent="0.25">
      <c r="A4" s="2" t="s">
        <v>20</v>
      </c>
      <c r="B4" s="2" t="s">
        <v>21</v>
      </c>
      <c r="C4" s="2" t="s">
        <v>22</v>
      </c>
      <c r="D4" s="2" t="s">
        <v>15</v>
      </c>
      <c r="E4" s="2" t="s">
        <v>126</v>
      </c>
      <c r="F4" s="2" t="s">
        <v>127</v>
      </c>
      <c r="G4" s="2" t="s">
        <v>129</v>
      </c>
      <c r="H4" s="2" t="s">
        <v>130</v>
      </c>
      <c r="I4" s="2">
        <f>IFERROR(INDEX('Thành viên'!$C$2:$C$4,MATCH(C4,'Thành viên'!$A$2:$A$4,0))&amp;"","")</f>
      </c>
      <c r="J4" s="3">
        <v>46293</v>
      </c>
      <c r="K4" s="3">
        <v>46294</v>
      </c>
      <c r="L4" s="5" t="s">
        <v>19</v>
      </c>
      <c r="M4" s="4" t="s">
        <v>24</v>
      </c>
    </row>
    <row r="5" spans="1:13" x14ac:dyDescent="0.25">
      <c r="A5" s="2" t="s">
        <v>20</v>
      </c>
      <c r="B5" s="2" t="s">
        <v>21</v>
      </c>
      <c r="C5" s="2" t="s">
        <v>22</v>
      </c>
      <c r="D5" s="2" t="s">
        <v>15</v>
      </c>
      <c r="E5" s="2" t="s">
        <v>131</v>
      </c>
      <c r="F5" s="2" t="s">
        <v>132</v>
      </c>
      <c r="G5" s="2" t="s">
        <v>124</v>
      </c>
      <c r="H5" s="2" t="s">
        <v>133</v>
      </c>
      <c r="I5" s="2">
        <f>IFERROR(INDEX('Thành viên'!$B$2:$B$4,MATCH(C5,'Thành viên'!$A$2:$A$4,0))&amp;"","")</f>
      </c>
      <c r="J5" s="3">
        <v>46293</v>
      </c>
      <c r="K5" s="3">
        <v>46294</v>
      </c>
      <c r="L5" s="5" t="s">
        <v>19</v>
      </c>
      <c r="M5" s="4" t="s">
        <v>24</v>
      </c>
    </row>
    <row r="6" spans="1:13" x14ac:dyDescent="0.25">
      <c r="A6" s="2" t="s">
        <v>20</v>
      </c>
      <c r="B6" s="2" t="s">
        <v>21</v>
      </c>
      <c r="C6" s="2" t="s">
        <v>22</v>
      </c>
      <c r="D6" s="2" t="s">
        <v>15</v>
      </c>
      <c r="E6" s="2" t="s">
        <v>131</v>
      </c>
      <c r="F6" s="2" t="s">
        <v>132</v>
      </c>
      <c r="G6" s="2" t="s">
        <v>129</v>
      </c>
      <c r="H6" s="2" t="s">
        <v>134</v>
      </c>
      <c r="I6" s="2">
        <f>IFERROR(INDEX('Thành viên'!$C$2:$C$4,MATCH(C6,'Thành viên'!$A$2:$A$4,0))&amp;"","")</f>
      </c>
      <c r="J6" s="3">
        <v>46293</v>
      </c>
      <c r="K6" s="3">
        <v>46294</v>
      </c>
      <c r="L6" s="5" t="s">
        <v>19</v>
      </c>
      <c r="M6" s="4" t="s">
        <v>24</v>
      </c>
    </row>
    <row r="7" spans="1:13" x14ac:dyDescent="0.25">
      <c r="A7" s="2" t="s">
        <v>20</v>
      </c>
      <c r="B7" s="2" t="s">
        <v>21</v>
      </c>
      <c r="C7" s="2" t="s">
        <v>22</v>
      </c>
      <c r="D7" s="2" t="s">
        <v>15</v>
      </c>
      <c r="E7" s="2" t="s">
        <v>135</v>
      </c>
      <c r="F7" s="2" t="s">
        <v>136</v>
      </c>
      <c r="G7" s="2" t="s">
        <v>124</v>
      </c>
      <c r="H7" s="2" t="s">
        <v>137</v>
      </c>
      <c r="I7" s="2">
        <f>IFERROR(INDEX('Thành viên'!$B$2:$B$4,MATCH(C7,'Thành viên'!$A$2:$A$4,0))&amp;"","")</f>
      </c>
      <c r="J7" s="3">
        <v>46293</v>
      </c>
      <c r="K7" s="3">
        <v>46294</v>
      </c>
      <c r="L7" s="5" t="s">
        <v>19</v>
      </c>
      <c r="M7" s="4" t="s">
        <v>24</v>
      </c>
    </row>
    <row r="8" spans="1:13" x14ac:dyDescent="0.25">
      <c r="A8" s="2" t="s">
        <v>20</v>
      </c>
      <c r="B8" s="2" t="s">
        <v>21</v>
      </c>
      <c r="C8" s="2" t="s">
        <v>22</v>
      </c>
      <c r="D8" s="2" t="s">
        <v>15</v>
      </c>
      <c r="E8" s="2" t="s">
        <v>135</v>
      </c>
      <c r="F8" s="2" t="s">
        <v>136</v>
      </c>
      <c r="G8" s="2" t="s">
        <v>129</v>
      </c>
      <c r="H8" s="2" t="s">
        <v>138</v>
      </c>
      <c r="I8" s="2">
        <f>IFERROR(INDEX('Thành viên'!$C$2:$C$4,MATCH(C8,'Thành viên'!$A$2:$A$4,0))&amp;"","")</f>
      </c>
      <c r="J8" s="3">
        <v>46293</v>
      </c>
      <c r="K8" s="3">
        <v>46294</v>
      </c>
      <c r="L8" s="5" t="s">
        <v>19</v>
      </c>
      <c r="M8" s="4" t="s">
        <v>24</v>
      </c>
    </row>
    <row r="9" spans="1:13" x14ac:dyDescent="0.25">
      <c r="A9" s="2" t="s">
        <v>20</v>
      </c>
      <c r="B9" s="2" t="s">
        <v>21</v>
      </c>
      <c r="C9" s="2" t="s">
        <v>22</v>
      </c>
      <c r="D9" s="2" t="s">
        <v>15</v>
      </c>
      <c r="E9" s="2" t="s">
        <v>139</v>
      </c>
      <c r="F9" s="2" t="s">
        <v>140</v>
      </c>
      <c r="G9" s="2" t="s">
        <v>124</v>
      </c>
      <c r="H9" s="2" t="s">
        <v>141</v>
      </c>
      <c r="I9" s="2">
        <f>IFERROR(INDEX('Thành viên'!$B$2:$B$4,MATCH(C9,'Thành viên'!$A$2:$A$4,0))&amp;"","")</f>
      </c>
      <c r="J9" s="3">
        <v>46293</v>
      </c>
      <c r="K9" s="3">
        <v>46294</v>
      </c>
      <c r="L9" s="5" t="s">
        <v>19</v>
      </c>
      <c r="M9" s="4" t="s">
        <v>24</v>
      </c>
    </row>
    <row r="10" spans="1:13" x14ac:dyDescent="0.25">
      <c r="A10" s="2" t="s">
        <v>20</v>
      </c>
      <c r="B10" s="2" t="s">
        <v>21</v>
      </c>
      <c r="C10" s="2" t="s">
        <v>22</v>
      </c>
      <c r="D10" s="2" t="s">
        <v>15</v>
      </c>
      <c r="E10" s="2" t="s">
        <v>139</v>
      </c>
      <c r="F10" s="2" t="s">
        <v>140</v>
      </c>
      <c r="G10" s="2" t="s">
        <v>129</v>
      </c>
      <c r="H10" s="2" t="s">
        <v>142</v>
      </c>
      <c r="I10" s="2">
        <f>IFERROR(INDEX('Thành viên'!$C$2:$C$4,MATCH(C10,'Thành viên'!$A$2:$A$4,0))&amp;"","")</f>
      </c>
      <c r="J10" s="3">
        <v>46293</v>
      </c>
      <c r="K10" s="3">
        <v>46294</v>
      </c>
      <c r="L10" s="5" t="s">
        <v>19</v>
      </c>
      <c r="M10" s="4" t="s">
        <v>24</v>
      </c>
    </row>
    <row r="11" spans="1:13" x14ac:dyDescent="0.25">
      <c r="A11" s="2" t="s">
        <v>25</v>
      </c>
      <c r="B11" s="2" t="s">
        <v>26</v>
      </c>
      <c r="C11" s="2" t="s">
        <v>22</v>
      </c>
      <c r="D11" s="2" t="s">
        <v>15</v>
      </c>
      <c r="E11" s="2" t="s">
        <v>143</v>
      </c>
      <c r="F11" s="2" t="s">
        <v>144</v>
      </c>
      <c r="G11" s="2" t="s">
        <v>124</v>
      </c>
      <c r="H11" s="2" t="s">
        <v>145</v>
      </c>
      <c r="I11" s="2">
        <f>IFERROR(INDEX('Thành viên'!$B$2:$B$4,MATCH(C11,'Thành viên'!$A$2:$A$4,0))&amp;"","")</f>
      </c>
      <c r="J11" s="3">
        <v>46294</v>
      </c>
      <c r="K11" s="3">
        <v>46295</v>
      </c>
      <c r="L11" s="5" t="s">
        <v>19</v>
      </c>
      <c r="M11" s="4" t="s">
        <v>27</v>
      </c>
    </row>
    <row r="12" spans="1:13" x14ac:dyDescent="0.25">
      <c r="A12" s="2" t="s">
        <v>25</v>
      </c>
      <c r="B12" s="2" t="s">
        <v>26</v>
      </c>
      <c r="C12" s="2" t="s">
        <v>22</v>
      </c>
      <c r="D12" s="2" t="s">
        <v>15</v>
      </c>
      <c r="E12" s="2" t="s">
        <v>143</v>
      </c>
      <c r="F12" s="2" t="s">
        <v>144</v>
      </c>
      <c r="G12" s="2" t="s">
        <v>129</v>
      </c>
      <c r="H12" s="2" t="s">
        <v>146</v>
      </c>
      <c r="I12" s="2">
        <f>IFERROR(INDEX('Thành viên'!$C$2:$C$4,MATCH(C12,'Thành viên'!$A$2:$A$4,0))&amp;"","")</f>
      </c>
      <c r="J12" s="3">
        <v>46294</v>
      </c>
      <c r="K12" s="3">
        <v>46295</v>
      </c>
      <c r="L12" s="5" t="s">
        <v>19</v>
      </c>
      <c r="M12" s="4" t="s">
        <v>27</v>
      </c>
    </row>
    <row r="13" spans="1:13" x14ac:dyDescent="0.25">
      <c r="A13" s="2" t="s">
        <v>25</v>
      </c>
      <c r="B13" s="2" t="s">
        <v>26</v>
      </c>
      <c r="C13" s="2" t="s">
        <v>22</v>
      </c>
      <c r="D13" s="2" t="s">
        <v>15</v>
      </c>
      <c r="E13" s="2" t="s">
        <v>147</v>
      </c>
      <c r="F13" s="2" t="s">
        <v>148</v>
      </c>
      <c r="G13" s="2" t="s">
        <v>124</v>
      </c>
      <c r="H13" s="2" t="s">
        <v>149</v>
      </c>
      <c r="I13" s="2">
        <f>IFERROR(INDEX('Thành viên'!$B$2:$B$4,MATCH(C13,'Thành viên'!$A$2:$A$4,0))&amp;"","")</f>
      </c>
      <c r="J13" s="3">
        <v>46294</v>
      </c>
      <c r="K13" s="3">
        <v>46295</v>
      </c>
      <c r="L13" s="5" t="s">
        <v>19</v>
      </c>
      <c r="M13" s="4" t="s">
        <v>27</v>
      </c>
    </row>
    <row r="14" spans="1:13" x14ac:dyDescent="0.25">
      <c r="A14" s="2" t="s">
        <v>25</v>
      </c>
      <c r="B14" s="2" t="s">
        <v>26</v>
      </c>
      <c r="C14" s="2" t="s">
        <v>22</v>
      </c>
      <c r="D14" s="2" t="s">
        <v>15</v>
      </c>
      <c r="E14" s="2" t="s">
        <v>147</v>
      </c>
      <c r="F14" s="2" t="s">
        <v>148</v>
      </c>
      <c r="G14" s="2" t="s">
        <v>129</v>
      </c>
      <c r="H14" s="2" t="s">
        <v>150</v>
      </c>
      <c r="I14" s="2">
        <f>IFERROR(INDEX('Thành viên'!$C$2:$C$4,MATCH(C14,'Thành viên'!$A$2:$A$4,0))&amp;"","")</f>
      </c>
      <c r="J14" s="3">
        <v>46294</v>
      </c>
      <c r="K14" s="3">
        <v>46295</v>
      </c>
      <c r="L14" s="5" t="s">
        <v>19</v>
      </c>
      <c r="M14" s="4" t="s">
        <v>27</v>
      </c>
    </row>
    <row r="15" spans="1:13" x14ac:dyDescent="0.25">
      <c r="A15" s="2" t="s">
        <v>28</v>
      </c>
      <c r="B15" s="2" t="s">
        <v>29</v>
      </c>
      <c r="C15" s="2" t="s">
        <v>22</v>
      </c>
      <c r="D15" s="2" t="s">
        <v>15</v>
      </c>
      <c r="E15" s="2" t="s">
        <v>151</v>
      </c>
      <c r="F15" s="2" t="s">
        <v>152</v>
      </c>
      <c r="G15" s="2" t="s">
        <v>124</v>
      </c>
      <c r="H15" s="2" t="s">
        <v>153</v>
      </c>
      <c r="I15" s="2">
        <f>IFERROR(INDEX('Thành viên'!$B$2:$B$4,MATCH(C15,'Thành viên'!$A$2:$A$4,0))&amp;"","")</f>
      </c>
      <c r="J15" s="3">
        <v>46295</v>
      </c>
      <c r="K15" s="3">
        <v>46296</v>
      </c>
      <c r="L15" s="5" t="s">
        <v>19</v>
      </c>
      <c r="M15" s="4" t="s">
        <v>30</v>
      </c>
    </row>
    <row r="16" spans="1:13" x14ac:dyDescent="0.25">
      <c r="A16" s="2" t="s">
        <v>28</v>
      </c>
      <c r="B16" s="2" t="s">
        <v>29</v>
      </c>
      <c r="C16" s="2" t="s">
        <v>22</v>
      </c>
      <c r="D16" s="2" t="s">
        <v>15</v>
      </c>
      <c r="E16" s="2" t="s">
        <v>151</v>
      </c>
      <c r="F16" s="2" t="s">
        <v>152</v>
      </c>
      <c r="G16" s="2" t="s">
        <v>129</v>
      </c>
      <c r="H16" s="2" t="s">
        <v>154</v>
      </c>
      <c r="I16" s="2">
        <f>IFERROR(INDEX('Thành viên'!$C$2:$C$4,MATCH(C16,'Thành viên'!$A$2:$A$4,0))&amp;"","")</f>
      </c>
      <c r="J16" s="3">
        <v>46295</v>
      </c>
      <c r="K16" s="3">
        <v>46296</v>
      </c>
      <c r="L16" s="5" t="s">
        <v>19</v>
      </c>
      <c r="M16" s="4" t="s">
        <v>30</v>
      </c>
    </row>
    <row r="17" spans="1:13" x14ac:dyDescent="0.25">
      <c r="A17" s="2" t="s">
        <v>28</v>
      </c>
      <c r="B17" s="2" t="s">
        <v>29</v>
      </c>
      <c r="C17" s="2" t="s">
        <v>22</v>
      </c>
      <c r="D17" s="2" t="s">
        <v>15</v>
      </c>
      <c r="E17" s="2" t="s">
        <v>155</v>
      </c>
      <c r="F17" s="2" t="s">
        <v>156</v>
      </c>
      <c r="G17" s="2" t="s">
        <v>124</v>
      </c>
      <c r="H17" s="2" t="s">
        <v>157</v>
      </c>
      <c r="I17" s="2">
        <f>IFERROR(INDEX('Thành viên'!$B$2:$B$4,MATCH(C17,'Thành viên'!$A$2:$A$4,0))&amp;"","")</f>
      </c>
      <c r="J17" s="3">
        <v>46295</v>
      </c>
      <c r="K17" s="3">
        <v>46296</v>
      </c>
      <c r="L17" s="5" t="s">
        <v>19</v>
      </c>
      <c r="M17" s="4" t="s">
        <v>30</v>
      </c>
    </row>
    <row r="18" spans="1:13" x14ac:dyDescent="0.25">
      <c r="A18" s="2" t="s">
        <v>28</v>
      </c>
      <c r="B18" s="2" t="s">
        <v>29</v>
      </c>
      <c r="C18" s="2" t="s">
        <v>22</v>
      </c>
      <c r="D18" s="2" t="s">
        <v>15</v>
      </c>
      <c r="E18" s="2" t="s">
        <v>155</v>
      </c>
      <c r="F18" s="2" t="s">
        <v>156</v>
      </c>
      <c r="G18" s="2" t="s">
        <v>129</v>
      </c>
      <c r="H18" s="2" t="s">
        <v>158</v>
      </c>
      <c r="I18" s="2">
        <f>IFERROR(INDEX('Thành viên'!$C$2:$C$4,MATCH(C18,'Thành viên'!$A$2:$A$4,0))&amp;"","")</f>
      </c>
      <c r="J18" s="3">
        <v>46295</v>
      </c>
      <c r="K18" s="3">
        <v>46296</v>
      </c>
      <c r="L18" s="5" t="s">
        <v>19</v>
      </c>
      <c r="M18" s="4" t="s">
        <v>30</v>
      </c>
    </row>
    <row r="19" spans="1:13" x14ac:dyDescent="0.25">
      <c r="A19" s="2" t="s">
        <v>31</v>
      </c>
      <c r="B19" s="2" t="s">
        <v>32</v>
      </c>
      <c r="C19" s="2" t="s">
        <v>22</v>
      </c>
      <c r="D19" s="2" t="s">
        <v>15</v>
      </c>
      <c r="E19" s="2" t="s">
        <v>159</v>
      </c>
      <c r="F19" s="2" t="s">
        <v>160</v>
      </c>
      <c r="G19" s="2" t="s">
        <v>124</v>
      </c>
      <c r="H19" s="2" t="s">
        <v>161</v>
      </c>
      <c r="I19" s="2">
        <f>IFERROR(INDEX('Thành viên'!$B$2:$B$4,MATCH(C19,'Thành viên'!$A$2:$A$4,0))&amp;"","")</f>
      </c>
      <c r="J19" s="3">
        <v>46296</v>
      </c>
      <c r="K19" s="3">
        <v>46297</v>
      </c>
      <c r="L19" s="5" t="s">
        <v>19</v>
      </c>
      <c r="M19" s="4" t="s">
        <v>33</v>
      </c>
    </row>
    <row r="20" spans="1:13" x14ac:dyDescent="0.25">
      <c r="A20" s="2" t="s">
        <v>31</v>
      </c>
      <c r="B20" s="2" t="s">
        <v>32</v>
      </c>
      <c r="C20" s="2" t="s">
        <v>22</v>
      </c>
      <c r="D20" s="2" t="s">
        <v>15</v>
      </c>
      <c r="E20" s="2" t="s">
        <v>159</v>
      </c>
      <c r="F20" s="2" t="s">
        <v>160</v>
      </c>
      <c r="G20" s="2" t="s">
        <v>129</v>
      </c>
      <c r="H20" s="2" t="s">
        <v>162</v>
      </c>
      <c r="I20" s="2">
        <f>IFERROR(INDEX('Thành viên'!$C$2:$C$4,MATCH(C20,'Thành viên'!$A$2:$A$4,0))&amp;"","")</f>
      </c>
      <c r="J20" s="3">
        <v>46296</v>
      </c>
      <c r="K20" s="3">
        <v>46297</v>
      </c>
      <c r="L20" s="5" t="s">
        <v>19</v>
      </c>
      <c r="M20" s="4" t="s">
        <v>33</v>
      </c>
    </row>
    <row r="21" spans="1:13" x14ac:dyDescent="0.25">
      <c r="A21" s="2" t="s">
        <v>31</v>
      </c>
      <c r="B21" s="2" t="s">
        <v>32</v>
      </c>
      <c r="C21" s="2" t="s">
        <v>22</v>
      </c>
      <c r="D21" s="2" t="s">
        <v>15</v>
      </c>
      <c r="E21" s="2" t="s">
        <v>163</v>
      </c>
      <c r="F21" s="2" t="s">
        <v>164</v>
      </c>
      <c r="G21" s="2" t="s">
        <v>124</v>
      </c>
      <c r="H21" s="2" t="s">
        <v>165</v>
      </c>
      <c r="I21" s="2">
        <f>IFERROR(INDEX('Thành viên'!$B$2:$B$4,MATCH(C21,'Thành viên'!$A$2:$A$4,0))&amp;"","")</f>
      </c>
      <c r="J21" s="3">
        <v>46296</v>
      </c>
      <c r="K21" s="3">
        <v>46297</v>
      </c>
      <c r="L21" s="5" t="s">
        <v>19</v>
      </c>
      <c r="M21" s="4" t="s">
        <v>33</v>
      </c>
    </row>
    <row r="22" spans="1:13" x14ac:dyDescent="0.25">
      <c r="A22" s="2" t="s">
        <v>31</v>
      </c>
      <c r="B22" s="2" t="s">
        <v>32</v>
      </c>
      <c r="C22" s="2" t="s">
        <v>22</v>
      </c>
      <c r="D22" s="2" t="s">
        <v>15</v>
      </c>
      <c r="E22" s="2" t="s">
        <v>163</v>
      </c>
      <c r="F22" s="2" t="s">
        <v>164</v>
      </c>
      <c r="G22" s="2" t="s">
        <v>129</v>
      </c>
      <c r="H22" s="2" t="s">
        <v>166</v>
      </c>
      <c r="I22" s="2">
        <f>IFERROR(INDEX('Thành viên'!$C$2:$C$4,MATCH(C22,'Thành viên'!$A$2:$A$4,0))&amp;"","")</f>
      </c>
      <c r="J22" s="3">
        <v>46296</v>
      </c>
      <c r="K22" s="3">
        <v>46297</v>
      </c>
      <c r="L22" s="5" t="s">
        <v>19</v>
      </c>
      <c r="M22" s="4" t="s">
        <v>33</v>
      </c>
    </row>
    <row r="23" spans="1:13" x14ac:dyDescent="0.25">
      <c r="A23" s="2" t="s">
        <v>34</v>
      </c>
      <c r="B23" s="2" t="s">
        <v>35</v>
      </c>
      <c r="C23" s="2" t="s">
        <v>22</v>
      </c>
      <c r="D23" s="2" t="s">
        <v>15</v>
      </c>
      <c r="E23" s="2" t="s">
        <v>167</v>
      </c>
      <c r="F23" s="2" t="s">
        <v>168</v>
      </c>
      <c r="G23" s="2" t="s">
        <v>124</v>
      </c>
      <c r="H23" s="2" t="s">
        <v>169</v>
      </c>
      <c r="I23" s="2">
        <f>IFERROR(INDEX('Thành viên'!$B$2:$B$4,MATCH(C23,'Thành viên'!$A$2:$A$4,0))&amp;"","")</f>
      </c>
      <c r="J23" s="3">
        <v>46297</v>
      </c>
      <c r="K23" s="3">
        <v>46298</v>
      </c>
      <c r="L23" s="5" t="s">
        <v>19</v>
      </c>
      <c r="M23" s="4" t="s">
        <v>36</v>
      </c>
    </row>
    <row r="24" spans="1:13" x14ac:dyDescent="0.25">
      <c r="A24" s="2" t="s">
        <v>34</v>
      </c>
      <c r="B24" s="2" t="s">
        <v>35</v>
      </c>
      <c r="C24" s="2" t="s">
        <v>22</v>
      </c>
      <c r="D24" s="2" t="s">
        <v>15</v>
      </c>
      <c r="E24" s="2" t="s">
        <v>167</v>
      </c>
      <c r="F24" s="2" t="s">
        <v>168</v>
      </c>
      <c r="G24" s="2" t="s">
        <v>129</v>
      </c>
      <c r="H24" s="2" t="s">
        <v>170</v>
      </c>
      <c r="I24" s="2">
        <f>IFERROR(INDEX('Thành viên'!$C$2:$C$4,MATCH(C24,'Thành viên'!$A$2:$A$4,0))&amp;"","")</f>
      </c>
      <c r="J24" s="3">
        <v>46297</v>
      </c>
      <c r="K24" s="3">
        <v>46298</v>
      </c>
      <c r="L24" s="5" t="s">
        <v>19</v>
      </c>
      <c r="M24" s="4" t="s">
        <v>36</v>
      </c>
    </row>
    <row r="25" spans="1:13" x14ac:dyDescent="0.25">
      <c r="A25" s="2" t="s">
        <v>34</v>
      </c>
      <c r="B25" s="2" t="s">
        <v>35</v>
      </c>
      <c r="C25" s="2" t="s">
        <v>22</v>
      </c>
      <c r="D25" s="2" t="s">
        <v>15</v>
      </c>
      <c r="E25" s="2" t="s">
        <v>171</v>
      </c>
      <c r="F25" s="2" t="s">
        <v>172</v>
      </c>
      <c r="G25" s="2" t="s">
        <v>124</v>
      </c>
      <c r="H25" s="2" t="s">
        <v>173</v>
      </c>
      <c r="I25" s="2">
        <f>IFERROR(INDEX('Thành viên'!$B$2:$B$4,MATCH(C25,'Thành viên'!$A$2:$A$4,0))&amp;"","")</f>
      </c>
      <c r="J25" s="3">
        <v>46297</v>
      </c>
      <c r="K25" s="3">
        <v>46298</v>
      </c>
      <c r="L25" s="5" t="s">
        <v>19</v>
      </c>
      <c r="M25" s="4" t="s">
        <v>36</v>
      </c>
    </row>
    <row r="26" spans="1:13" x14ac:dyDescent="0.25">
      <c r="A26" s="2" t="s">
        <v>34</v>
      </c>
      <c r="B26" s="2" t="s">
        <v>35</v>
      </c>
      <c r="C26" s="2" t="s">
        <v>22</v>
      </c>
      <c r="D26" s="2" t="s">
        <v>15</v>
      </c>
      <c r="E26" s="2" t="s">
        <v>171</v>
      </c>
      <c r="F26" s="2" t="s">
        <v>172</v>
      </c>
      <c r="G26" s="2" t="s">
        <v>129</v>
      </c>
      <c r="H26" s="2" t="s">
        <v>174</v>
      </c>
      <c r="I26" s="2">
        <f>IFERROR(INDEX('Thành viên'!$C$2:$C$4,MATCH(C26,'Thành viên'!$A$2:$A$4,0))&amp;"","")</f>
      </c>
      <c r="J26" s="3">
        <v>46297</v>
      </c>
      <c r="K26" s="3">
        <v>46298</v>
      </c>
      <c r="L26" s="5" t="s">
        <v>19</v>
      </c>
      <c r="M26" s="4" t="s">
        <v>36</v>
      </c>
    </row>
    <row r="27" spans="1:13" x14ac:dyDescent="0.25">
      <c r="A27" s="2" t="s">
        <v>34</v>
      </c>
      <c r="B27" s="2" t="s">
        <v>35</v>
      </c>
      <c r="C27" s="2" t="s">
        <v>22</v>
      </c>
      <c r="D27" s="2" t="s">
        <v>15</v>
      </c>
      <c r="E27" s="2" t="s">
        <v>175</v>
      </c>
      <c r="F27" s="2" t="s">
        <v>176</v>
      </c>
      <c r="G27" s="2" t="s">
        <v>124</v>
      </c>
      <c r="H27" s="2" t="s">
        <v>177</v>
      </c>
      <c r="I27" s="2">
        <f>IFERROR(INDEX('Thành viên'!$B$2:$B$4,MATCH(C27,'Thành viên'!$A$2:$A$4,0))&amp;"","")</f>
      </c>
      <c r="J27" s="3">
        <v>46297</v>
      </c>
      <c r="K27" s="3">
        <v>46298</v>
      </c>
      <c r="L27" s="5" t="s">
        <v>19</v>
      </c>
      <c r="M27" s="4" t="s">
        <v>36</v>
      </c>
    </row>
    <row r="28" spans="1:13" x14ac:dyDescent="0.25">
      <c r="A28" s="2" t="s">
        <v>34</v>
      </c>
      <c r="B28" s="2" t="s">
        <v>35</v>
      </c>
      <c r="C28" s="2" t="s">
        <v>22</v>
      </c>
      <c r="D28" s="2" t="s">
        <v>15</v>
      </c>
      <c r="E28" s="2" t="s">
        <v>175</v>
      </c>
      <c r="F28" s="2" t="s">
        <v>176</v>
      </c>
      <c r="G28" s="2" t="s">
        <v>129</v>
      </c>
      <c r="H28" s="2" t="s">
        <v>178</v>
      </c>
      <c r="I28" s="2">
        <f>IFERROR(INDEX('Thành viên'!$C$2:$C$4,MATCH(C28,'Thành viên'!$A$2:$A$4,0))&amp;"","")</f>
      </c>
      <c r="J28" s="3">
        <v>46297</v>
      </c>
      <c r="K28" s="3">
        <v>46298</v>
      </c>
      <c r="L28" s="5" t="s">
        <v>19</v>
      </c>
      <c r="M28" s="4" t="s">
        <v>36</v>
      </c>
    </row>
    <row r="29" spans="1:13" x14ac:dyDescent="0.25">
      <c r="A29" s="2" t="s">
        <v>37</v>
      </c>
      <c r="B29" s="2" t="s">
        <v>38</v>
      </c>
      <c r="C29" s="2" t="s">
        <v>22</v>
      </c>
      <c r="D29" s="2" t="s">
        <v>15</v>
      </c>
      <c r="E29" s="2" t="s">
        <v>179</v>
      </c>
      <c r="F29" s="2" t="s">
        <v>180</v>
      </c>
      <c r="G29" s="2" t="s">
        <v>129</v>
      </c>
      <c r="H29" s="2" t="s">
        <v>181</v>
      </c>
      <c r="I29" s="2">
        <f>IFERROR(INDEX('Thành viên'!$C$2:$C$4,MATCH(C29,'Thành viên'!$A$2:$A$4,0))&amp;"","")</f>
      </c>
      <c r="J29" s="3">
        <v>46298</v>
      </c>
      <c r="K29" s="3">
        <v>46299</v>
      </c>
      <c r="L29" s="5" t="s">
        <v>19</v>
      </c>
      <c r="M29" s="4" t="s">
        <v>39</v>
      </c>
    </row>
    <row r="30" spans="1:13" x14ac:dyDescent="0.25">
      <c r="A30" s="2" t="s">
        <v>37</v>
      </c>
      <c r="B30" s="2" t="s">
        <v>38</v>
      </c>
      <c r="C30" s="2" t="s">
        <v>22</v>
      </c>
      <c r="D30" s="2" t="s">
        <v>15</v>
      </c>
      <c r="E30" s="2" t="s">
        <v>182</v>
      </c>
      <c r="F30" s="2" t="s">
        <v>183</v>
      </c>
      <c r="G30" s="2" t="s">
        <v>124</v>
      </c>
      <c r="H30" s="2" t="s">
        <v>184</v>
      </c>
      <c r="I30" s="2">
        <f>IFERROR(INDEX('Thành viên'!$B$2:$B$4,MATCH(C30,'Thành viên'!$A$2:$A$4,0))&amp;"","")</f>
      </c>
      <c r="J30" s="3">
        <v>46298</v>
      </c>
      <c r="K30" s="3">
        <v>46299</v>
      </c>
      <c r="L30" s="5" t="s">
        <v>19</v>
      </c>
      <c r="M30" s="4" t="s">
        <v>39</v>
      </c>
    </row>
    <row r="31" spans="1:13" x14ac:dyDescent="0.25">
      <c r="A31" s="2" t="s">
        <v>37</v>
      </c>
      <c r="B31" s="2" t="s">
        <v>38</v>
      </c>
      <c r="C31" s="2" t="s">
        <v>22</v>
      </c>
      <c r="D31" s="2" t="s">
        <v>15</v>
      </c>
      <c r="E31" s="2" t="s">
        <v>182</v>
      </c>
      <c r="F31" s="2" t="s">
        <v>183</v>
      </c>
      <c r="G31" s="2" t="s">
        <v>129</v>
      </c>
      <c r="H31" s="2" t="s">
        <v>185</v>
      </c>
      <c r="I31" s="2">
        <f>IFERROR(INDEX('Thành viên'!$C$2:$C$4,MATCH(C31,'Thành viên'!$A$2:$A$4,0))&amp;"","")</f>
      </c>
      <c r="J31" s="3">
        <v>46298</v>
      </c>
      <c r="K31" s="3">
        <v>46299</v>
      </c>
      <c r="L31" s="5" t="s">
        <v>19</v>
      </c>
      <c r="M31" s="4" t="s">
        <v>39</v>
      </c>
    </row>
    <row r="32" spans="1:13" x14ac:dyDescent="0.25">
      <c r="A32" s="2" t="s">
        <v>40</v>
      </c>
      <c r="B32" s="2" t="s">
        <v>41</v>
      </c>
      <c r="C32" s="2" t="s">
        <v>22</v>
      </c>
      <c r="D32" s="2" t="s">
        <v>42</v>
      </c>
      <c r="E32" s="2" t="s">
        <v>186</v>
      </c>
      <c r="F32" s="2" t="s">
        <v>187</v>
      </c>
      <c r="G32" s="2" t="s">
        <v>124</v>
      </c>
      <c r="H32" s="2" t="s">
        <v>188</v>
      </c>
      <c r="I32" s="2">
        <f>IFERROR(INDEX('Thành viên'!$B$2:$B$4,MATCH(C32,'Thành viên'!$A$2:$A$4,0))&amp;"","")</f>
      </c>
      <c r="J32" s="3">
        <v>46300</v>
      </c>
      <c r="K32" s="3">
        <v>46302</v>
      </c>
      <c r="L32" s="5" t="s">
        <v>19</v>
      </c>
      <c r="M32" s="4" t="s">
        <v>45</v>
      </c>
    </row>
    <row r="33" spans="1:13" x14ac:dyDescent="0.25">
      <c r="A33" s="2" t="s">
        <v>40</v>
      </c>
      <c r="B33" s="2" t="s">
        <v>41</v>
      </c>
      <c r="C33" s="2" t="s">
        <v>22</v>
      </c>
      <c r="D33" s="2" t="s">
        <v>42</v>
      </c>
      <c r="E33" s="2" t="s">
        <v>186</v>
      </c>
      <c r="F33" s="2" t="s">
        <v>187</v>
      </c>
      <c r="G33" s="2" t="s">
        <v>129</v>
      </c>
      <c r="H33" s="2" t="s">
        <v>189</v>
      </c>
      <c r="I33" s="2">
        <f>IFERROR(INDEX('Thành viên'!$C$2:$C$4,MATCH(C33,'Thành viên'!$A$2:$A$4,0))&amp;"","")</f>
      </c>
      <c r="J33" s="3">
        <v>46300</v>
      </c>
      <c r="K33" s="3">
        <v>46302</v>
      </c>
      <c r="L33" s="5" t="s">
        <v>19</v>
      </c>
      <c r="M33" s="4" t="s">
        <v>45</v>
      </c>
    </row>
    <row r="34" spans="1:13" x14ac:dyDescent="0.25">
      <c r="A34" s="2" t="s">
        <v>40</v>
      </c>
      <c r="B34" s="2" t="s">
        <v>41</v>
      </c>
      <c r="C34" s="2" t="s">
        <v>22</v>
      </c>
      <c r="D34" s="2" t="s">
        <v>42</v>
      </c>
      <c r="E34" s="2" t="s">
        <v>190</v>
      </c>
      <c r="F34" s="2" t="s">
        <v>191</v>
      </c>
      <c r="G34" s="2" t="s">
        <v>124</v>
      </c>
      <c r="H34" s="2" t="s">
        <v>192</v>
      </c>
      <c r="I34" s="2">
        <f>IFERROR(INDEX('Thành viên'!$B$2:$B$4,MATCH(C34,'Thành viên'!$A$2:$A$4,0))&amp;"","")</f>
      </c>
      <c r="J34" s="3">
        <v>46300</v>
      </c>
      <c r="K34" s="3">
        <v>46302</v>
      </c>
      <c r="L34" s="5" t="s">
        <v>19</v>
      </c>
      <c r="M34" s="4" t="s">
        <v>45</v>
      </c>
    </row>
    <row r="35" spans="1:13" x14ac:dyDescent="0.25">
      <c r="A35" s="2" t="s">
        <v>40</v>
      </c>
      <c r="B35" s="2" t="s">
        <v>41</v>
      </c>
      <c r="C35" s="2" t="s">
        <v>22</v>
      </c>
      <c r="D35" s="2" t="s">
        <v>42</v>
      </c>
      <c r="E35" s="2" t="s">
        <v>190</v>
      </c>
      <c r="F35" s="2" t="s">
        <v>191</v>
      </c>
      <c r="G35" s="2" t="s">
        <v>129</v>
      </c>
      <c r="H35" s="2" t="s">
        <v>193</v>
      </c>
      <c r="I35" s="2">
        <f>IFERROR(INDEX('Thành viên'!$C$2:$C$4,MATCH(C35,'Thành viên'!$A$2:$A$4,0))&amp;"","")</f>
      </c>
      <c r="J35" s="3">
        <v>46300</v>
      </c>
      <c r="K35" s="3">
        <v>46302</v>
      </c>
      <c r="L35" s="5" t="s">
        <v>19</v>
      </c>
      <c r="M35" s="4" t="s">
        <v>45</v>
      </c>
    </row>
    <row r="36" spans="1:13" x14ac:dyDescent="0.25">
      <c r="A36" s="2" t="s">
        <v>46</v>
      </c>
      <c r="B36" s="2" t="s">
        <v>47</v>
      </c>
      <c r="C36" s="2" t="s">
        <v>22</v>
      </c>
      <c r="D36" s="2" t="s">
        <v>42</v>
      </c>
      <c r="E36" s="2" t="s">
        <v>194</v>
      </c>
      <c r="F36" s="2" t="s">
        <v>195</v>
      </c>
      <c r="G36" s="2" t="s">
        <v>124</v>
      </c>
      <c r="H36" s="2" t="s">
        <v>196</v>
      </c>
      <c r="I36" s="2">
        <f>IFERROR(INDEX('Thành viên'!$B$2:$B$4,MATCH(C36,'Thành viên'!$A$2:$A$4,0))&amp;"","")</f>
      </c>
      <c r="J36" s="3">
        <v>46302</v>
      </c>
      <c r="K36" s="3">
        <v>46304</v>
      </c>
      <c r="L36" s="5" t="s">
        <v>19</v>
      </c>
      <c r="M36" s="4" t="s">
        <v>49</v>
      </c>
    </row>
    <row r="37" spans="1:13" x14ac:dyDescent="0.25">
      <c r="A37" s="2" t="s">
        <v>46</v>
      </c>
      <c r="B37" s="2" t="s">
        <v>47</v>
      </c>
      <c r="C37" s="2" t="s">
        <v>22</v>
      </c>
      <c r="D37" s="2" t="s">
        <v>42</v>
      </c>
      <c r="E37" s="2" t="s">
        <v>194</v>
      </c>
      <c r="F37" s="2" t="s">
        <v>195</v>
      </c>
      <c r="G37" s="2" t="s">
        <v>129</v>
      </c>
      <c r="H37" s="2" t="s">
        <v>197</v>
      </c>
      <c r="I37" s="2">
        <f>IFERROR(INDEX('Thành viên'!$C$2:$C$4,MATCH(C37,'Thành viên'!$A$2:$A$4,0))&amp;"","")</f>
      </c>
      <c r="J37" s="3">
        <v>46302</v>
      </c>
      <c r="K37" s="3">
        <v>46304</v>
      </c>
      <c r="L37" s="5" t="s">
        <v>19</v>
      </c>
      <c r="M37" s="4" t="s">
        <v>49</v>
      </c>
    </row>
    <row r="38" spans="1:13" x14ac:dyDescent="0.25">
      <c r="A38" s="2" t="s">
        <v>46</v>
      </c>
      <c r="B38" s="2" t="s">
        <v>47</v>
      </c>
      <c r="C38" s="2" t="s">
        <v>22</v>
      </c>
      <c r="D38" s="2" t="s">
        <v>42</v>
      </c>
      <c r="E38" s="2" t="s">
        <v>198</v>
      </c>
      <c r="F38" s="2" t="s">
        <v>199</v>
      </c>
      <c r="G38" s="2" t="s">
        <v>124</v>
      </c>
      <c r="H38" s="2" t="s">
        <v>200</v>
      </c>
      <c r="I38" s="2">
        <f>IFERROR(INDEX('Thành viên'!$B$2:$B$4,MATCH(C38,'Thành viên'!$A$2:$A$4,0))&amp;"","")</f>
      </c>
      <c r="J38" s="3">
        <v>46302</v>
      </c>
      <c r="K38" s="3">
        <v>46304</v>
      </c>
      <c r="L38" s="5" t="s">
        <v>19</v>
      </c>
      <c r="M38" s="4" t="s">
        <v>49</v>
      </c>
    </row>
    <row r="39" spans="1:13" x14ac:dyDescent="0.25">
      <c r="A39" s="2" t="s">
        <v>46</v>
      </c>
      <c r="B39" s="2" t="s">
        <v>47</v>
      </c>
      <c r="C39" s="2" t="s">
        <v>22</v>
      </c>
      <c r="D39" s="2" t="s">
        <v>42</v>
      </c>
      <c r="E39" s="2" t="s">
        <v>198</v>
      </c>
      <c r="F39" s="2" t="s">
        <v>199</v>
      </c>
      <c r="G39" s="2" t="s">
        <v>129</v>
      </c>
      <c r="H39" s="2" t="s">
        <v>201</v>
      </c>
      <c r="I39" s="2">
        <f>IFERROR(INDEX('Thành viên'!$C$2:$C$4,MATCH(C39,'Thành viên'!$A$2:$A$4,0))&amp;"","")</f>
      </c>
      <c r="J39" s="3">
        <v>46302</v>
      </c>
      <c r="K39" s="3">
        <v>46304</v>
      </c>
      <c r="L39" s="5" t="s">
        <v>19</v>
      </c>
      <c r="M39" s="4" t="s">
        <v>49</v>
      </c>
    </row>
    <row r="40" spans="1:13" x14ac:dyDescent="0.25">
      <c r="A40" s="2" t="s">
        <v>46</v>
      </c>
      <c r="B40" s="2" t="s">
        <v>47</v>
      </c>
      <c r="C40" s="2" t="s">
        <v>22</v>
      </c>
      <c r="D40" s="2" t="s">
        <v>42</v>
      </c>
      <c r="E40" s="2" t="s">
        <v>202</v>
      </c>
      <c r="F40" s="2" t="s">
        <v>203</v>
      </c>
      <c r="G40" s="2" t="s">
        <v>124</v>
      </c>
      <c r="H40" s="2" t="s">
        <v>204</v>
      </c>
      <c r="I40" s="2">
        <f>IFERROR(INDEX('Thành viên'!$B$2:$B$4,MATCH(C40,'Thành viên'!$A$2:$A$4,0))&amp;"","")</f>
      </c>
      <c r="J40" s="3">
        <v>46302</v>
      </c>
      <c r="K40" s="3">
        <v>46304</v>
      </c>
      <c r="L40" s="5" t="s">
        <v>19</v>
      </c>
      <c r="M40" s="4" t="s">
        <v>49</v>
      </c>
    </row>
    <row r="41" spans="1:13" x14ac:dyDescent="0.25">
      <c r="A41" s="2" t="s">
        <v>46</v>
      </c>
      <c r="B41" s="2" t="s">
        <v>47</v>
      </c>
      <c r="C41" s="2" t="s">
        <v>22</v>
      </c>
      <c r="D41" s="2" t="s">
        <v>42</v>
      </c>
      <c r="E41" s="2" t="s">
        <v>202</v>
      </c>
      <c r="F41" s="2" t="s">
        <v>203</v>
      </c>
      <c r="G41" s="2" t="s">
        <v>129</v>
      </c>
      <c r="H41" s="2" t="s">
        <v>205</v>
      </c>
      <c r="I41" s="2">
        <f>IFERROR(INDEX('Thành viên'!$C$2:$C$4,MATCH(C41,'Thành viên'!$A$2:$A$4,0))&amp;"","")</f>
      </c>
      <c r="J41" s="3">
        <v>46302</v>
      </c>
      <c r="K41" s="3">
        <v>46304</v>
      </c>
      <c r="L41" s="5" t="s">
        <v>19</v>
      </c>
      <c r="M41" s="4" t="s">
        <v>49</v>
      </c>
    </row>
    <row r="42" spans="1:13" x14ac:dyDescent="0.25">
      <c r="A42" s="2" t="s">
        <v>46</v>
      </c>
      <c r="B42" s="2" t="s">
        <v>47</v>
      </c>
      <c r="C42" s="2" t="s">
        <v>22</v>
      </c>
      <c r="D42" s="2" t="s">
        <v>42</v>
      </c>
      <c r="E42" s="2" t="s">
        <v>190</v>
      </c>
      <c r="F42" s="2" t="s">
        <v>206</v>
      </c>
      <c r="G42" s="2" t="s">
        <v>124</v>
      </c>
      <c r="H42" s="2" t="s">
        <v>207</v>
      </c>
      <c r="I42" s="2">
        <f>IFERROR(INDEX('Thành viên'!$B$2:$B$4,MATCH(C42,'Thành viên'!$A$2:$A$4,0))&amp;"","")</f>
      </c>
      <c r="J42" s="3">
        <v>46302</v>
      </c>
      <c r="K42" s="3">
        <v>46304</v>
      </c>
      <c r="L42" s="5" t="s">
        <v>19</v>
      </c>
      <c r="M42" s="4" t="s">
        <v>49</v>
      </c>
    </row>
    <row r="43" spans="1:13" x14ac:dyDescent="0.25">
      <c r="A43" s="2" t="s">
        <v>46</v>
      </c>
      <c r="B43" s="2" t="s">
        <v>47</v>
      </c>
      <c r="C43" s="2" t="s">
        <v>22</v>
      </c>
      <c r="D43" s="2" t="s">
        <v>42</v>
      </c>
      <c r="E43" s="2" t="s">
        <v>190</v>
      </c>
      <c r="F43" s="2" t="s">
        <v>206</v>
      </c>
      <c r="G43" s="2" t="s">
        <v>129</v>
      </c>
      <c r="H43" s="2" t="s">
        <v>208</v>
      </c>
      <c r="I43" s="2">
        <f>IFERROR(INDEX('Thành viên'!$C$2:$C$4,MATCH(C43,'Thành viên'!$A$2:$A$4,0))&amp;"","")</f>
      </c>
      <c r="J43" s="3">
        <v>46302</v>
      </c>
      <c r="K43" s="3">
        <v>46304</v>
      </c>
      <c r="L43" s="5" t="s">
        <v>19</v>
      </c>
      <c r="M43" s="4" t="s">
        <v>49</v>
      </c>
    </row>
    <row r="44" spans="1:13" x14ac:dyDescent="0.25">
      <c r="A44" s="2" t="s">
        <v>50</v>
      </c>
      <c r="B44" s="2" t="s">
        <v>51</v>
      </c>
      <c r="C44" s="2" t="s">
        <v>22</v>
      </c>
      <c r="D44" s="2" t="s">
        <v>42</v>
      </c>
      <c r="E44" s="2" t="s">
        <v>186</v>
      </c>
      <c r="F44" s="2" t="s">
        <v>209</v>
      </c>
      <c r="G44" s="2" t="s">
        <v>124</v>
      </c>
      <c r="H44" s="2" t="s">
        <v>210</v>
      </c>
      <c r="I44" s="2">
        <f>IFERROR(INDEX('Thành viên'!$B$2:$B$4,MATCH(C44,'Thành viên'!$A$2:$A$4,0))&amp;"","")</f>
      </c>
      <c r="J44" s="3">
        <v>46304</v>
      </c>
      <c r="K44" s="3">
        <v>46306</v>
      </c>
      <c r="L44" s="5" t="s">
        <v>19</v>
      </c>
      <c r="M44" s="4" t="s">
        <v>53</v>
      </c>
    </row>
    <row r="45" spans="1:13" x14ac:dyDescent="0.25">
      <c r="A45" s="2" t="s">
        <v>50</v>
      </c>
      <c r="B45" s="2" t="s">
        <v>51</v>
      </c>
      <c r="C45" s="2" t="s">
        <v>22</v>
      </c>
      <c r="D45" s="2" t="s">
        <v>42</v>
      </c>
      <c r="E45" s="2" t="s">
        <v>186</v>
      </c>
      <c r="F45" s="2" t="s">
        <v>209</v>
      </c>
      <c r="G45" s="2" t="s">
        <v>129</v>
      </c>
      <c r="H45" s="2" t="s">
        <v>211</v>
      </c>
      <c r="I45" s="2">
        <f>IFERROR(INDEX('Thành viên'!$C$2:$C$4,MATCH(C45,'Thành viên'!$A$2:$A$4,0))&amp;"","")</f>
      </c>
      <c r="J45" s="3">
        <v>46304</v>
      </c>
      <c r="K45" s="3">
        <v>46306</v>
      </c>
      <c r="L45" s="5" t="s">
        <v>19</v>
      </c>
      <c r="M45" s="4" t="s">
        <v>53</v>
      </c>
    </row>
    <row r="46" spans="1:13" x14ac:dyDescent="0.25">
      <c r="A46" s="2" t="s">
        <v>50</v>
      </c>
      <c r="B46" s="2" t="s">
        <v>51</v>
      </c>
      <c r="C46" s="2" t="s">
        <v>22</v>
      </c>
      <c r="D46" s="2" t="s">
        <v>42</v>
      </c>
      <c r="E46" s="2" t="s">
        <v>212</v>
      </c>
      <c r="F46" s="2" t="s">
        <v>213</v>
      </c>
      <c r="G46" s="2" t="s">
        <v>124</v>
      </c>
      <c r="H46" s="2" t="s">
        <v>214</v>
      </c>
      <c r="I46" s="2">
        <f>IFERROR(INDEX('Thành viên'!$B$2:$B$4,MATCH(C46,'Thành viên'!$A$2:$A$4,0))&amp;"","")</f>
      </c>
      <c r="J46" s="3">
        <v>46304</v>
      </c>
      <c r="K46" s="3">
        <v>46306</v>
      </c>
      <c r="L46" s="5" t="s">
        <v>19</v>
      </c>
      <c r="M46" s="4" t="s">
        <v>53</v>
      </c>
    </row>
    <row r="47" spans="1:13" x14ac:dyDescent="0.25">
      <c r="A47" s="2" t="s">
        <v>50</v>
      </c>
      <c r="B47" s="2" t="s">
        <v>51</v>
      </c>
      <c r="C47" s="2" t="s">
        <v>22</v>
      </c>
      <c r="D47" s="2" t="s">
        <v>42</v>
      </c>
      <c r="E47" s="2" t="s">
        <v>212</v>
      </c>
      <c r="F47" s="2" t="s">
        <v>213</v>
      </c>
      <c r="G47" s="2" t="s">
        <v>129</v>
      </c>
      <c r="H47" s="2" t="s">
        <v>215</v>
      </c>
      <c r="I47" s="2">
        <f>IFERROR(INDEX('Thành viên'!$C$2:$C$4,MATCH(C47,'Thành viên'!$A$2:$A$4,0))&amp;"","")</f>
      </c>
      <c r="J47" s="3">
        <v>46304</v>
      </c>
      <c r="K47" s="3">
        <v>46306</v>
      </c>
      <c r="L47" s="5" t="s">
        <v>19</v>
      </c>
      <c r="M47" s="4" t="s">
        <v>53</v>
      </c>
    </row>
    <row r="48" spans="1:13" x14ac:dyDescent="0.25">
      <c r="A48" s="2" t="s">
        <v>50</v>
      </c>
      <c r="B48" s="2" t="s">
        <v>51</v>
      </c>
      <c r="C48" s="2" t="s">
        <v>22</v>
      </c>
      <c r="D48" s="2" t="s">
        <v>42</v>
      </c>
      <c r="E48" s="2" t="s">
        <v>190</v>
      </c>
      <c r="F48" s="2" t="s">
        <v>216</v>
      </c>
      <c r="G48" s="2" t="s">
        <v>124</v>
      </c>
      <c r="H48" s="2" t="s">
        <v>217</v>
      </c>
      <c r="I48" s="2">
        <f>IFERROR(INDEX('Thành viên'!$B$2:$B$4,MATCH(C48,'Thành viên'!$A$2:$A$4,0))&amp;"","")</f>
      </c>
      <c r="J48" s="3">
        <v>46304</v>
      </c>
      <c r="K48" s="3">
        <v>46306</v>
      </c>
      <c r="L48" s="5" t="s">
        <v>19</v>
      </c>
      <c r="M48" s="4" t="s">
        <v>53</v>
      </c>
    </row>
    <row r="49" spans="1:13" x14ac:dyDescent="0.25">
      <c r="A49" s="2" t="s">
        <v>50</v>
      </c>
      <c r="B49" s="2" t="s">
        <v>51</v>
      </c>
      <c r="C49" s="2" t="s">
        <v>22</v>
      </c>
      <c r="D49" s="2" t="s">
        <v>42</v>
      </c>
      <c r="E49" s="2" t="s">
        <v>190</v>
      </c>
      <c r="F49" s="2" t="s">
        <v>216</v>
      </c>
      <c r="G49" s="2" t="s">
        <v>129</v>
      </c>
      <c r="H49" s="2" t="s">
        <v>218</v>
      </c>
      <c r="I49" s="2">
        <f>IFERROR(INDEX('Thành viên'!$C$2:$C$4,MATCH(C49,'Thành viên'!$A$2:$A$4,0))&amp;"","")</f>
      </c>
      <c r="J49" s="3">
        <v>46304</v>
      </c>
      <c r="K49" s="3">
        <v>46306</v>
      </c>
      <c r="L49" s="5" t="s">
        <v>19</v>
      </c>
      <c r="M49" s="4" t="s">
        <v>53</v>
      </c>
    </row>
    <row r="50" spans="1:13" x14ac:dyDescent="0.25">
      <c r="A50" s="2" t="s">
        <v>54</v>
      </c>
      <c r="B50" s="2" t="s">
        <v>55</v>
      </c>
      <c r="C50" s="2" t="s">
        <v>22</v>
      </c>
      <c r="D50" s="2" t="s">
        <v>56</v>
      </c>
      <c r="E50" s="2" t="s">
        <v>186</v>
      </c>
      <c r="F50" s="2" t="s">
        <v>219</v>
      </c>
      <c r="G50" s="2" t="s">
        <v>124</v>
      </c>
      <c r="H50" s="2" t="s">
        <v>220</v>
      </c>
      <c r="I50" s="2">
        <f>IFERROR(INDEX('Thành viên'!$B$2:$B$4,MATCH(C50,'Thành viên'!$A$2:$A$4,0))&amp;"","")</f>
      </c>
      <c r="J50" s="3">
        <v>46307</v>
      </c>
      <c r="K50" s="3">
        <v>46308</v>
      </c>
      <c r="L50" s="5" t="s">
        <v>19</v>
      </c>
      <c r="M50" s="4" t="s">
        <v>58</v>
      </c>
    </row>
    <row r="51" spans="1:13" x14ac:dyDescent="0.25">
      <c r="A51" s="2" t="s">
        <v>54</v>
      </c>
      <c r="B51" s="2" t="s">
        <v>55</v>
      </c>
      <c r="C51" s="2" t="s">
        <v>22</v>
      </c>
      <c r="D51" s="2" t="s">
        <v>56</v>
      </c>
      <c r="E51" s="2" t="s">
        <v>186</v>
      </c>
      <c r="F51" s="2" t="s">
        <v>219</v>
      </c>
      <c r="G51" s="2" t="s">
        <v>129</v>
      </c>
      <c r="H51" s="2" t="s">
        <v>221</v>
      </c>
      <c r="I51" s="2">
        <f>IFERROR(INDEX('Thành viên'!$C$2:$C$4,MATCH(C51,'Thành viên'!$A$2:$A$4,0))&amp;"","")</f>
      </c>
      <c r="J51" s="3">
        <v>46307</v>
      </c>
      <c r="K51" s="3">
        <v>46308</v>
      </c>
      <c r="L51" s="5" t="s">
        <v>19</v>
      </c>
      <c r="M51" s="4" t="s">
        <v>58</v>
      </c>
    </row>
    <row r="52" spans="1:13" x14ac:dyDescent="0.25">
      <c r="A52" s="2" t="s">
        <v>59</v>
      </c>
      <c r="B52" s="2" t="s">
        <v>60</v>
      </c>
      <c r="C52" s="2" t="s">
        <v>22</v>
      </c>
      <c r="D52" s="2" t="s">
        <v>56</v>
      </c>
      <c r="E52" s="2" t="s">
        <v>186</v>
      </c>
      <c r="F52" s="2" t="s">
        <v>222</v>
      </c>
      <c r="G52" s="2" t="s">
        <v>124</v>
      </c>
      <c r="H52" s="2" t="s">
        <v>223</v>
      </c>
      <c r="I52" s="2">
        <f>IFERROR(INDEX('Thành viên'!$B$2:$B$4,MATCH(C52,'Thành viên'!$A$2:$A$4,0))&amp;"","")</f>
      </c>
      <c r="J52" s="3">
        <v>46309</v>
      </c>
      <c r="K52" s="3">
        <v>46310</v>
      </c>
      <c r="L52" s="5" t="s">
        <v>19</v>
      </c>
      <c r="M52" s="4" t="s">
        <v>63</v>
      </c>
    </row>
    <row r="53" spans="1:13" x14ac:dyDescent="0.25">
      <c r="A53" s="2" t="s">
        <v>59</v>
      </c>
      <c r="B53" s="2" t="s">
        <v>60</v>
      </c>
      <c r="C53" s="2" t="s">
        <v>22</v>
      </c>
      <c r="D53" s="2" t="s">
        <v>56</v>
      </c>
      <c r="E53" s="2" t="s">
        <v>186</v>
      </c>
      <c r="F53" s="2" t="s">
        <v>222</v>
      </c>
      <c r="G53" s="2" t="s">
        <v>129</v>
      </c>
      <c r="H53" s="2" t="s">
        <v>224</v>
      </c>
      <c r="I53" s="2">
        <f>IFERROR(INDEX('Thành viên'!$C$2:$C$4,MATCH(C53,'Thành viên'!$A$2:$A$4,0))&amp;"","")</f>
      </c>
      <c r="J53" s="3">
        <v>46309</v>
      </c>
      <c r="K53" s="3">
        <v>46310</v>
      </c>
      <c r="L53" s="5" t="s">
        <v>19</v>
      </c>
      <c r="M53" s="4" t="s">
        <v>63</v>
      </c>
    </row>
    <row r="54" spans="1:13" x14ac:dyDescent="0.25">
      <c r="A54" s="2" t="s">
        <v>59</v>
      </c>
      <c r="B54" s="2" t="s">
        <v>60</v>
      </c>
      <c r="C54" s="2" t="s">
        <v>22</v>
      </c>
      <c r="D54" s="2" t="s">
        <v>56</v>
      </c>
      <c r="E54" s="2" t="s">
        <v>225</v>
      </c>
      <c r="F54" s="2" t="s">
        <v>226</v>
      </c>
      <c r="G54" s="2" t="s">
        <v>124</v>
      </c>
      <c r="H54" s="2" t="s">
        <v>227</v>
      </c>
      <c r="I54" s="2">
        <f>IFERROR(INDEX('Thành viên'!$B$2:$B$4,MATCH(C54,'Thành viên'!$A$2:$A$4,0))&amp;"","")</f>
      </c>
      <c r="J54" s="3">
        <v>46309</v>
      </c>
      <c r="K54" s="3">
        <v>46310</v>
      </c>
      <c r="L54" s="5" t="s">
        <v>19</v>
      </c>
      <c r="M54" s="4" t="s">
        <v>63</v>
      </c>
    </row>
    <row r="55" spans="1:13" x14ac:dyDescent="0.25">
      <c r="A55" s="2" t="s">
        <v>59</v>
      </c>
      <c r="B55" s="2" t="s">
        <v>60</v>
      </c>
      <c r="C55" s="2" t="s">
        <v>22</v>
      </c>
      <c r="D55" s="2" t="s">
        <v>56</v>
      </c>
      <c r="E55" s="2" t="s">
        <v>225</v>
      </c>
      <c r="F55" s="2" t="s">
        <v>226</v>
      </c>
      <c r="G55" s="2" t="s">
        <v>129</v>
      </c>
      <c r="H55" s="2" t="s">
        <v>228</v>
      </c>
      <c r="I55" s="2">
        <f>IFERROR(INDEX('Thành viên'!$C$2:$C$4,MATCH(C55,'Thành viên'!$A$2:$A$4,0))&amp;"","")</f>
      </c>
      <c r="J55" s="3">
        <v>46309</v>
      </c>
      <c r="K55" s="3">
        <v>46310</v>
      </c>
      <c r="L55" s="5" t="s">
        <v>19</v>
      </c>
      <c r="M55" s="4" t="s">
        <v>63</v>
      </c>
    </row>
    <row r="56" spans="1:13" x14ac:dyDescent="0.25">
      <c r="A56" s="2" t="s">
        <v>59</v>
      </c>
      <c r="B56" s="2" t="s">
        <v>60</v>
      </c>
      <c r="C56" s="2" t="s">
        <v>22</v>
      </c>
      <c r="D56" s="2" t="s">
        <v>56</v>
      </c>
      <c r="E56" s="2" t="s">
        <v>229</v>
      </c>
      <c r="F56" s="2" t="s">
        <v>230</v>
      </c>
      <c r="G56" s="2" t="s">
        <v>124</v>
      </c>
      <c r="H56" s="2" t="s">
        <v>231</v>
      </c>
      <c r="I56" s="2">
        <f>IFERROR(INDEX('Thành viên'!$B$2:$B$4,MATCH(C56,'Thành viên'!$A$2:$A$4,0))&amp;"","")</f>
      </c>
      <c r="J56" s="3">
        <v>46309</v>
      </c>
      <c r="K56" s="3">
        <v>46310</v>
      </c>
      <c r="L56" s="5" t="s">
        <v>19</v>
      </c>
      <c r="M56" s="4" t="s">
        <v>63</v>
      </c>
    </row>
    <row r="57" spans="1:13" x14ac:dyDescent="0.25">
      <c r="A57" s="2" t="s">
        <v>59</v>
      </c>
      <c r="B57" s="2" t="s">
        <v>60</v>
      </c>
      <c r="C57" s="2" t="s">
        <v>22</v>
      </c>
      <c r="D57" s="2" t="s">
        <v>56</v>
      </c>
      <c r="E57" s="2" t="s">
        <v>229</v>
      </c>
      <c r="F57" s="2" t="s">
        <v>230</v>
      </c>
      <c r="G57" s="2" t="s">
        <v>129</v>
      </c>
      <c r="H57" s="2" t="s">
        <v>232</v>
      </c>
      <c r="I57" s="2">
        <f>IFERROR(INDEX('Thành viên'!$C$2:$C$4,MATCH(C57,'Thành viên'!$A$2:$A$4,0))&amp;"","")</f>
      </c>
      <c r="J57" s="3">
        <v>46309</v>
      </c>
      <c r="K57" s="3">
        <v>46310</v>
      </c>
      <c r="L57" s="5" t="s">
        <v>19</v>
      </c>
      <c r="M57" s="4" t="s">
        <v>63</v>
      </c>
    </row>
    <row r="58" spans="1:13" x14ac:dyDescent="0.25">
      <c r="A58" s="2" t="s">
        <v>64</v>
      </c>
      <c r="B58" s="2" t="s">
        <v>65</v>
      </c>
      <c r="C58" s="2" t="s">
        <v>22</v>
      </c>
      <c r="D58" s="2" t="s">
        <v>56</v>
      </c>
      <c r="E58" s="2" t="s">
        <v>233</v>
      </c>
      <c r="F58" s="2" t="s">
        <v>65</v>
      </c>
      <c r="G58" s="2" t="s">
        <v>124</v>
      </c>
      <c r="H58" s="2" t="s">
        <v>234</v>
      </c>
      <c r="I58" s="2">
        <f>IFERROR(INDEX('Thành viên'!$B$2:$B$4,MATCH(C58,'Thành viên'!$A$2:$A$4,0))&amp;"","")</f>
      </c>
      <c r="J58" s="3">
        <v>46311</v>
      </c>
      <c r="K58" s="3">
        <v>46311</v>
      </c>
      <c r="L58" s="5" t="s">
        <v>19</v>
      </c>
      <c r="M58" s="4" t="s">
        <v>67</v>
      </c>
    </row>
    <row r="59" spans="1:13" x14ac:dyDescent="0.25">
      <c r="A59" s="2" t="s">
        <v>64</v>
      </c>
      <c r="B59" s="2" t="s">
        <v>65</v>
      </c>
      <c r="C59" s="2" t="s">
        <v>22</v>
      </c>
      <c r="D59" s="2" t="s">
        <v>56</v>
      </c>
      <c r="E59" s="2" t="s">
        <v>233</v>
      </c>
      <c r="F59" s="2" t="s">
        <v>65</v>
      </c>
      <c r="G59" s="2" t="s">
        <v>129</v>
      </c>
      <c r="H59" s="2" t="s">
        <v>235</v>
      </c>
      <c r="I59" s="2">
        <f>IFERROR(INDEX('Thành viên'!$C$2:$C$4,MATCH(C59,'Thành viên'!$A$2:$A$4,0))&amp;"","")</f>
      </c>
      <c r="J59" s="3">
        <v>46311</v>
      </c>
      <c r="K59" s="3">
        <v>46311</v>
      </c>
      <c r="L59" s="5" t="s">
        <v>19</v>
      </c>
      <c r="M59" s="4" t="s">
        <v>67</v>
      </c>
    </row>
    <row r="60" spans="1:13" x14ac:dyDescent="0.25">
      <c r="A60" s="2" t="s">
        <v>68</v>
      </c>
      <c r="B60" s="2" t="s">
        <v>69</v>
      </c>
      <c r="C60" s="2" t="s">
        <v>22</v>
      </c>
      <c r="D60" s="2" t="s">
        <v>56</v>
      </c>
      <c r="E60" s="2" t="s">
        <v>190</v>
      </c>
      <c r="F60" s="2" t="s">
        <v>236</v>
      </c>
      <c r="G60" s="2" t="s">
        <v>124</v>
      </c>
      <c r="H60" s="2" t="s">
        <v>237</v>
      </c>
      <c r="I60" s="2">
        <f>IFERROR(INDEX('Thành viên'!$B$2:$B$4,MATCH(C60,'Thành viên'!$A$2:$A$4,0))&amp;"","")</f>
      </c>
      <c r="J60" s="3">
        <v>46312</v>
      </c>
      <c r="K60" s="3">
        <v>46312</v>
      </c>
      <c r="L60" s="5" t="s">
        <v>19</v>
      </c>
      <c r="M60" s="4" t="s">
        <v>71</v>
      </c>
    </row>
    <row r="61" spans="1:13" x14ac:dyDescent="0.25">
      <c r="A61" s="2" t="s">
        <v>68</v>
      </c>
      <c r="B61" s="2" t="s">
        <v>69</v>
      </c>
      <c r="C61" s="2" t="s">
        <v>22</v>
      </c>
      <c r="D61" s="2" t="s">
        <v>56</v>
      </c>
      <c r="E61" s="2" t="s">
        <v>190</v>
      </c>
      <c r="F61" s="2" t="s">
        <v>236</v>
      </c>
      <c r="G61" s="2" t="s">
        <v>129</v>
      </c>
      <c r="H61" s="2" t="s">
        <v>238</v>
      </c>
      <c r="I61" s="2">
        <f>IFERROR(INDEX('Thành viên'!$C$2:$C$4,MATCH(C61,'Thành viên'!$A$2:$A$4,0))&amp;"","")</f>
      </c>
      <c r="J61" s="3">
        <v>46312</v>
      </c>
      <c r="K61" s="3">
        <v>46312</v>
      </c>
      <c r="L61" s="5" t="s">
        <v>19</v>
      </c>
      <c r="M61" s="4" t="s">
        <v>71</v>
      </c>
    </row>
    <row r="62" spans="1:13" x14ac:dyDescent="0.25">
      <c r="A62" s="2" t="s">
        <v>72</v>
      </c>
      <c r="B62" s="2" t="s">
        <v>73</v>
      </c>
      <c r="C62" s="2" t="s">
        <v>22</v>
      </c>
      <c r="D62" s="2" t="s">
        <v>56</v>
      </c>
      <c r="E62" s="2" t="s">
        <v>239</v>
      </c>
      <c r="F62" s="2" t="s">
        <v>240</v>
      </c>
      <c r="G62" s="2" t="s">
        <v>124</v>
      </c>
      <c r="H62" s="2" t="s">
        <v>241</v>
      </c>
      <c r="I62" s="2">
        <f>IFERROR(INDEX('Thành viên'!$B$2:$B$4,MATCH(C62,'Thành viên'!$A$2:$A$4,0))&amp;"","")</f>
      </c>
      <c r="J62" s="3">
        <v>46313</v>
      </c>
      <c r="K62" s="3">
        <v>46313</v>
      </c>
      <c r="L62" s="5" t="s">
        <v>19</v>
      </c>
      <c r="M62" s="4" t="s">
        <v>75</v>
      </c>
    </row>
    <row r="63" spans="1:13" x14ac:dyDescent="0.25">
      <c r="A63" s="2" t="s">
        <v>72</v>
      </c>
      <c r="B63" s="2" t="s">
        <v>73</v>
      </c>
      <c r="C63" s="2" t="s">
        <v>22</v>
      </c>
      <c r="D63" s="2" t="s">
        <v>56</v>
      </c>
      <c r="E63" s="2" t="s">
        <v>239</v>
      </c>
      <c r="F63" s="2" t="s">
        <v>240</v>
      </c>
      <c r="G63" s="2" t="s">
        <v>129</v>
      </c>
      <c r="H63" s="2" t="s">
        <v>242</v>
      </c>
      <c r="I63" s="2">
        <f>IFERROR(INDEX('Thành viên'!$C$2:$C$4,MATCH(C63,'Thành viên'!$A$2:$A$4,0))&amp;"","")</f>
      </c>
      <c r="J63" s="3">
        <v>46313</v>
      </c>
      <c r="K63" s="3">
        <v>46313</v>
      </c>
      <c r="L63" s="5" t="s">
        <v>19</v>
      </c>
      <c r="M63" s="4" t="s">
        <v>75</v>
      </c>
    </row>
    <row r="64" spans="1:13" x14ac:dyDescent="0.25">
      <c r="A64" s="2" t="s">
        <v>76</v>
      </c>
      <c r="B64" s="2" t="s">
        <v>77</v>
      </c>
      <c r="C64" s="2" t="s">
        <v>78</v>
      </c>
      <c r="D64" s="2" t="s">
        <v>15</v>
      </c>
      <c r="E64" s="2" t="s">
        <v>239</v>
      </c>
      <c r="F64" s="2" t="s">
        <v>243</v>
      </c>
      <c r="G64" s="2" t="s">
        <v>124</v>
      </c>
      <c r="H64" s="2" t="s">
        <v>244</v>
      </c>
      <c r="I64" s="2">
        <f>IFERROR(INDEX('Thành viên'!$B$2:$B$4,MATCH(C64,'Thành viên'!$A$2:$A$4,0))&amp;"","")</f>
      </c>
      <c r="J64" s="3">
        <v>46293</v>
      </c>
      <c r="K64" s="3">
        <v>46295</v>
      </c>
      <c r="L64" s="5" t="s">
        <v>19</v>
      </c>
      <c r="M64" s="4" t="s">
        <v>80</v>
      </c>
    </row>
    <row r="65" spans="1:13" x14ac:dyDescent="0.25">
      <c r="A65" s="2" t="s">
        <v>76</v>
      </c>
      <c r="B65" s="2" t="s">
        <v>77</v>
      </c>
      <c r="C65" s="2" t="s">
        <v>78</v>
      </c>
      <c r="D65" s="2" t="s">
        <v>15</v>
      </c>
      <c r="E65" s="2" t="s">
        <v>239</v>
      </c>
      <c r="F65" s="2" t="s">
        <v>243</v>
      </c>
      <c r="G65" s="2" t="s">
        <v>129</v>
      </c>
      <c r="H65" s="2" t="s">
        <v>245</v>
      </c>
      <c r="I65" s="2">
        <f>IFERROR(INDEX('Thành viên'!$C$2:$C$4,MATCH(C65,'Thành viên'!$A$2:$A$4,0))&amp;"","")</f>
      </c>
      <c r="J65" s="3">
        <v>46293</v>
      </c>
      <c r="K65" s="3">
        <v>46295</v>
      </c>
      <c r="L65" s="5" t="s">
        <v>19</v>
      </c>
      <c r="M65" s="4" t="s">
        <v>80</v>
      </c>
    </row>
    <row r="66" spans="1:13" x14ac:dyDescent="0.25">
      <c r="A66" s="2" t="s">
        <v>81</v>
      </c>
      <c r="B66" s="2" t="s">
        <v>82</v>
      </c>
      <c r="C66" s="2" t="s">
        <v>78</v>
      </c>
      <c r="D66" s="2" t="s">
        <v>15</v>
      </c>
      <c r="E66" s="2" t="s">
        <v>246</v>
      </c>
      <c r="F66" s="2" t="s">
        <v>247</v>
      </c>
      <c r="G66" s="2" t="s">
        <v>124</v>
      </c>
      <c r="H66" s="2" t="s">
        <v>248</v>
      </c>
      <c r="I66" s="2">
        <f>IFERROR(INDEX('Thành viên'!$B$2:$B$4,MATCH(C66,'Thành viên'!$A$2:$A$4,0))&amp;"","")</f>
      </c>
      <c r="J66" s="3">
        <v>46295</v>
      </c>
      <c r="K66" s="3">
        <v>46299</v>
      </c>
      <c r="L66" s="5" t="s">
        <v>19</v>
      </c>
      <c r="M66" s="4" t="s">
        <v>84</v>
      </c>
    </row>
    <row r="67" spans="1:13" x14ac:dyDescent="0.25">
      <c r="A67" s="2" t="s">
        <v>81</v>
      </c>
      <c r="B67" s="2" t="s">
        <v>82</v>
      </c>
      <c r="C67" s="2" t="s">
        <v>78</v>
      </c>
      <c r="D67" s="2" t="s">
        <v>15</v>
      </c>
      <c r="E67" s="2" t="s">
        <v>246</v>
      </c>
      <c r="F67" s="2" t="s">
        <v>247</v>
      </c>
      <c r="G67" s="2" t="s">
        <v>129</v>
      </c>
      <c r="H67" s="2" t="s">
        <v>249</v>
      </c>
      <c r="I67" s="2">
        <f>IFERROR(INDEX('Thành viên'!$C$2:$C$4,MATCH(C67,'Thành viên'!$A$2:$A$4,0))&amp;"","")</f>
      </c>
      <c r="J67" s="3">
        <v>46295</v>
      </c>
      <c r="K67" s="3">
        <v>46299</v>
      </c>
      <c r="L67" s="5" t="s">
        <v>19</v>
      </c>
      <c r="M67" s="4" t="s">
        <v>84</v>
      </c>
    </row>
    <row r="68" spans="1:13" x14ac:dyDescent="0.25">
      <c r="A68" s="2" t="s">
        <v>85</v>
      </c>
      <c r="B68" s="2" t="s">
        <v>86</v>
      </c>
      <c r="C68" s="2" t="s">
        <v>78</v>
      </c>
      <c r="D68" s="2" t="s">
        <v>42</v>
      </c>
      <c r="E68" s="2" t="s">
        <v>250</v>
      </c>
      <c r="F68" s="2" t="s">
        <v>251</v>
      </c>
      <c r="G68" s="2" t="s">
        <v>124</v>
      </c>
      <c r="H68" s="2" t="s">
        <v>252</v>
      </c>
      <c r="I68" s="2">
        <f>IFERROR(INDEX('Thành viên'!$B$2:$B$4,MATCH(C68,'Thành viên'!$A$2:$A$4,0))&amp;"","")</f>
      </c>
      <c r="J68" s="3">
        <v>46300</v>
      </c>
      <c r="K68" s="3">
        <v>46301</v>
      </c>
      <c r="L68" s="5" t="s">
        <v>19</v>
      </c>
      <c r="M68" s="4" t="s">
        <v>88</v>
      </c>
    </row>
    <row r="69" spans="1:13" x14ac:dyDescent="0.25">
      <c r="A69" s="2" t="s">
        <v>85</v>
      </c>
      <c r="B69" s="2" t="s">
        <v>86</v>
      </c>
      <c r="C69" s="2" t="s">
        <v>78</v>
      </c>
      <c r="D69" s="2" t="s">
        <v>42</v>
      </c>
      <c r="E69" s="2" t="s">
        <v>250</v>
      </c>
      <c r="F69" s="2" t="s">
        <v>251</v>
      </c>
      <c r="G69" s="2" t="s">
        <v>129</v>
      </c>
      <c r="H69" s="2" t="s">
        <v>253</v>
      </c>
      <c r="I69" s="2">
        <f>IFERROR(INDEX('Thành viên'!$C$2:$C$4,MATCH(C69,'Thành viên'!$A$2:$A$4,0))&amp;"","")</f>
      </c>
      <c r="J69" s="3">
        <v>46300</v>
      </c>
      <c r="K69" s="3">
        <v>46301</v>
      </c>
      <c r="L69" s="5" t="s">
        <v>19</v>
      </c>
      <c r="M69" s="4" t="s">
        <v>88</v>
      </c>
    </row>
    <row r="70" spans="1:13" x14ac:dyDescent="0.25">
      <c r="A70" s="2" t="s">
        <v>89</v>
      </c>
      <c r="B70" s="2" t="s">
        <v>90</v>
      </c>
      <c r="C70" s="2" t="s">
        <v>78</v>
      </c>
      <c r="D70" s="2" t="s">
        <v>42</v>
      </c>
      <c r="E70" s="2" t="s">
        <v>254</v>
      </c>
      <c r="F70" s="2" t="s">
        <v>255</v>
      </c>
      <c r="G70" s="2" t="s">
        <v>124</v>
      </c>
      <c r="H70" s="2" t="s">
        <v>256</v>
      </c>
      <c r="I70" s="2">
        <f>IFERROR(INDEX('Thành viên'!$B$2:$B$4,MATCH(C70,'Thành viên'!$A$2:$A$4,0))&amp;"","")</f>
      </c>
      <c r="J70" s="3">
        <v>46301</v>
      </c>
      <c r="K70" s="3">
        <v>46304</v>
      </c>
      <c r="L70" s="5" t="s">
        <v>19</v>
      </c>
      <c r="M70" s="4" t="s">
        <v>92</v>
      </c>
    </row>
    <row r="71" spans="1:13" x14ac:dyDescent="0.25">
      <c r="A71" s="2" t="s">
        <v>89</v>
      </c>
      <c r="B71" s="2" t="s">
        <v>90</v>
      </c>
      <c r="C71" s="2" t="s">
        <v>78</v>
      </c>
      <c r="D71" s="2" t="s">
        <v>42</v>
      </c>
      <c r="E71" s="2" t="s">
        <v>254</v>
      </c>
      <c r="F71" s="2" t="s">
        <v>255</v>
      </c>
      <c r="G71" s="2" t="s">
        <v>129</v>
      </c>
      <c r="H71" s="2" t="s">
        <v>257</v>
      </c>
      <c r="I71" s="2">
        <f>IFERROR(INDEX('Thành viên'!$C$2:$C$4,MATCH(C71,'Thành viên'!$A$2:$A$4,0))&amp;"","")</f>
      </c>
      <c r="J71" s="3">
        <v>46301</v>
      </c>
      <c r="K71" s="3">
        <v>46304</v>
      </c>
      <c r="L71" s="5" t="s">
        <v>19</v>
      </c>
      <c r="M71" s="4" t="s">
        <v>92</v>
      </c>
    </row>
    <row r="72" spans="1:13" x14ac:dyDescent="0.25">
      <c r="A72" s="2" t="s">
        <v>93</v>
      </c>
      <c r="B72" s="2" t="s">
        <v>94</v>
      </c>
      <c r="C72" s="2" t="s">
        <v>78</v>
      </c>
      <c r="D72" s="2" t="s">
        <v>42</v>
      </c>
      <c r="E72" s="2" t="s">
        <v>258</v>
      </c>
      <c r="F72" s="2" t="s">
        <v>259</v>
      </c>
      <c r="G72" s="2" t="s">
        <v>124</v>
      </c>
      <c r="H72" s="2" t="s">
        <v>260</v>
      </c>
      <c r="I72" s="2">
        <f>IFERROR(INDEX('Thành viên'!$B$2:$B$4,MATCH(C72,'Thành viên'!$A$2:$A$4,0))&amp;"","")</f>
      </c>
      <c r="J72" s="3">
        <v>46304</v>
      </c>
      <c r="K72" s="3">
        <v>46306</v>
      </c>
      <c r="L72" s="5" t="s">
        <v>19</v>
      </c>
      <c r="M72" s="4" t="s">
        <v>96</v>
      </c>
    </row>
    <row r="73" spans="1:13" x14ac:dyDescent="0.25">
      <c r="A73" s="2" t="s">
        <v>93</v>
      </c>
      <c r="B73" s="2" t="s">
        <v>94</v>
      </c>
      <c r="C73" s="2" t="s">
        <v>78</v>
      </c>
      <c r="D73" s="2" t="s">
        <v>42</v>
      </c>
      <c r="E73" s="2" t="s">
        <v>258</v>
      </c>
      <c r="F73" s="2" t="s">
        <v>259</v>
      </c>
      <c r="G73" s="2" t="s">
        <v>129</v>
      </c>
      <c r="H73" s="2" t="s">
        <v>261</v>
      </c>
      <c r="I73" s="2">
        <f>IFERROR(INDEX('Thành viên'!$C$2:$C$4,MATCH(C73,'Thành viên'!$A$2:$A$4,0))&amp;"","")</f>
      </c>
      <c r="J73" s="3">
        <v>46304</v>
      </c>
      <c r="K73" s="3">
        <v>46306</v>
      </c>
      <c r="L73" s="5" t="s">
        <v>19</v>
      </c>
      <c r="M73" s="4" t="s">
        <v>96</v>
      </c>
    </row>
    <row r="74" spans="1:13" x14ac:dyDescent="0.25">
      <c r="A74" s="2" t="s">
        <v>97</v>
      </c>
      <c r="B74" s="2" t="s">
        <v>98</v>
      </c>
      <c r="C74" s="2" t="s">
        <v>78</v>
      </c>
      <c r="D74" s="2" t="s">
        <v>56</v>
      </c>
      <c r="E74" s="2" t="s">
        <v>262</v>
      </c>
      <c r="F74" s="2" t="s">
        <v>263</v>
      </c>
      <c r="G74" s="2" t="s">
        <v>124</v>
      </c>
      <c r="H74" s="2" t="s">
        <v>264</v>
      </c>
      <c r="I74" s="2">
        <f>IFERROR(INDEX('Thành viên'!$B$2:$B$4,MATCH(C74,'Thành viên'!$A$2:$A$4,0))&amp;"","")</f>
      </c>
      <c r="J74" s="3">
        <v>46307</v>
      </c>
      <c r="K74" s="3">
        <v>46309</v>
      </c>
      <c r="L74" s="5" t="s">
        <v>19</v>
      </c>
      <c r="M74" s="4" t="s">
        <v>100</v>
      </c>
    </row>
    <row r="75" spans="1:13" x14ac:dyDescent="0.25">
      <c r="A75" s="2" t="s">
        <v>97</v>
      </c>
      <c r="B75" s="2" t="s">
        <v>98</v>
      </c>
      <c r="C75" s="2" t="s">
        <v>78</v>
      </c>
      <c r="D75" s="2" t="s">
        <v>56</v>
      </c>
      <c r="E75" s="2" t="s">
        <v>262</v>
      </c>
      <c r="F75" s="2" t="s">
        <v>263</v>
      </c>
      <c r="G75" s="2" t="s">
        <v>129</v>
      </c>
      <c r="H75" s="2" t="s">
        <v>265</v>
      </c>
      <c r="I75" s="2">
        <f>IFERROR(INDEX('Thành viên'!$C$2:$C$4,MATCH(C75,'Thành viên'!$A$2:$A$4,0))&amp;"","")</f>
      </c>
      <c r="J75" s="3">
        <v>46307</v>
      </c>
      <c r="K75" s="3">
        <v>46309</v>
      </c>
      <c r="L75" s="5" t="s">
        <v>19</v>
      </c>
      <c r="M75" s="4" t="s">
        <v>100</v>
      </c>
    </row>
    <row r="76" spans="1:13" x14ac:dyDescent="0.25">
      <c r="A76" s="2" t="s">
        <v>97</v>
      </c>
      <c r="B76" s="2" t="s">
        <v>98</v>
      </c>
      <c r="C76" s="2" t="s">
        <v>78</v>
      </c>
      <c r="D76" s="2" t="s">
        <v>56</v>
      </c>
      <c r="E76" s="2" t="s">
        <v>266</v>
      </c>
      <c r="F76" s="2" t="s">
        <v>267</v>
      </c>
      <c r="G76" s="2" t="s">
        <v>124</v>
      </c>
      <c r="H76" s="2" t="s">
        <v>268</v>
      </c>
      <c r="I76" s="2">
        <f>IFERROR(INDEX('Thành viên'!$B$2:$B$4,MATCH(C76,'Thành viên'!$A$2:$A$4,0))&amp;"","")</f>
      </c>
      <c r="J76" s="3">
        <v>46307</v>
      </c>
      <c r="K76" s="3">
        <v>46309</v>
      </c>
      <c r="L76" s="5" t="s">
        <v>19</v>
      </c>
      <c r="M76" s="4" t="s">
        <v>100</v>
      </c>
    </row>
    <row r="77" spans="1:13" x14ac:dyDescent="0.25">
      <c r="A77" s="2" t="s">
        <v>97</v>
      </c>
      <c r="B77" s="2" t="s">
        <v>98</v>
      </c>
      <c r="C77" s="2" t="s">
        <v>78</v>
      </c>
      <c r="D77" s="2" t="s">
        <v>56</v>
      </c>
      <c r="E77" s="2" t="s">
        <v>266</v>
      </c>
      <c r="F77" s="2" t="s">
        <v>267</v>
      </c>
      <c r="G77" s="2" t="s">
        <v>129</v>
      </c>
      <c r="H77" s="2" t="s">
        <v>269</v>
      </c>
      <c r="I77" s="2">
        <f>IFERROR(INDEX('Thành viên'!$C$2:$C$4,MATCH(C77,'Thành viên'!$A$2:$A$4,0))&amp;"","")</f>
      </c>
      <c r="J77" s="3">
        <v>46307</v>
      </c>
      <c r="K77" s="3">
        <v>46309</v>
      </c>
      <c r="L77" s="5" t="s">
        <v>19</v>
      </c>
      <c r="M77" s="4" t="s">
        <v>100</v>
      </c>
    </row>
    <row r="78" spans="1:13" x14ac:dyDescent="0.25">
      <c r="A78" s="2" t="s">
        <v>101</v>
      </c>
      <c r="B78" s="2" t="s">
        <v>102</v>
      </c>
      <c r="C78" s="2" t="s">
        <v>78</v>
      </c>
      <c r="D78" s="2" t="s">
        <v>56</v>
      </c>
      <c r="E78" s="2" t="s">
        <v>262</v>
      </c>
      <c r="F78" s="2" t="s">
        <v>270</v>
      </c>
      <c r="G78" s="2" t="s">
        <v>124</v>
      </c>
      <c r="H78" s="2" t="s">
        <v>271</v>
      </c>
      <c r="I78" s="2">
        <f>IFERROR(INDEX('Thành viên'!$B$2:$B$4,MATCH(C78,'Thành viên'!$A$2:$A$4,0))&amp;"","")</f>
      </c>
      <c r="J78" s="3">
        <v>46309</v>
      </c>
      <c r="K78" s="3">
        <v>46310</v>
      </c>
      <c r="L78" s="5" t="s">
        <v>19</v>
      </c>
      <c r="M78" s="4" t="s">
        <v>104</v>
      </c>
    </row>
    <row r="79" spans="1:13" x14ac:dyDescent="0.25">
      <c r="A79" s="2" t="s">
        <v>101</v>
      </c>
      <c r="B79" s="2" t="s">
        <v>102</v>
      </c>
      <c r="C79" s="2" t="s">
        <v>78</v>
      </c>
      <c r="D79" s="2" t="s">
        <v>56</v>
      </c>
      <c r="E79" s="2" t="s">
        <v>262</v>
      </c>
      <c r="F79" s="2" t="s">
        <v>270</v>
      </c>
      <c r="G79" s="2" t="s">
        <v>129</v>
      </c>
      <c r="H79" s="2" t="s">
        <v>272</v>
      </c>
      <c r="I79" s="2">
        <f>IFERROR(INDEX('Thành viên'!$C$2:$C$4,MATCH(C79,'Thành viên'!$A$2:$A$4,0))&amp;"","")</f>
      </c>
      <c r="J79" s="3">
        <v>46309</v>
      </c>
      <c r="K79" s="3">
        <v>46310</v>
      </c>
      <c r="L79" s="5" t="s">
        <v>19</v>
      </c>
      <c r="M79" s="4" t="s">
        <v>104</v>
      </c>
    </row>
    <row r="80" spans="1:13" x14ac:dyDescent="0.25">
      <c r="A80" s="2" t="s">
        <v>101</v>
      </c>
      <c r="B80" s="2" t="s">
        <v>102</v>
      </c>
      <c r="C80" s="2" t="s">
        <v>78</v>
      </c>
      <c r="D80" s="2" t="s">
        <v>56</v>
      </c>
      <c r="E80" s="2" t="s">
        <v>273</v>
      </c>
      <c r="F80" s="2" t="s">
        <v>274</v>
      </c>
      <c r="G80" s="2" t="s">
        <v>124</v>
      </c>
      <c r="H80" s="2" t="s">
        <v>275</v>
      </c>
      <c r="I80" s="2">
        <f>IFERROR(INDEX('Thành viên'!$B$2:$B$4,MATCH(C80,'Thành viên'!$A$2:$A$4,0))&amp;"","")</f>
      </c>
      <c r="J80" s="3">
        <v>46309</v>
      </c>
      <c r="K80" s="3">
        <v>46310</v>
      </c>
      <c r="L80" s="5" t="s">
        <v>19</v>
      </c>
      <c r="M80" s="4" t="s">
        <v>104</v>
      </c>
    </row>
    <row r="81" spans="1:13" x14ac:dyDescent="0.25">
      <c r="A81" s="2" t="s">
        <v>101</v>
      </c>
      <c r="B81" s="2" t="s">
        <v>102</v>
      </c>
      <c r="C81" s="2" t="s">
        <v>78</v>
      </c>
      <c r="D81" s="2" t="s">
        <v>56</v>
      </c>
      <c r="E81" s="2" t="s">
        <v>273</v>
      </c>
      <c r="F81" s="2" t="s">
        <v>274</v>
      </c>
      <c r="G81" s="2" t="s">
        <v>129</v>
      </c>
      <c r="H81" s="2" t="s">
        <v>276</v>
      </c>
      <c r="I81" s="2">
        <f>IFERROR(INDEX('Thành viên'!$C$2:$C$4,MATCH(C81,'Thành viên'!$A$2:$A$4,0))&amp;"","")</f>
      </c>
      <c r="J81" s="3">
        <v>46309</v>
      </c>
      <c r="K81" s="3">
        <v>46310</v>
      </c>
      <c r="L81" s="5" t="s">
        <v>19</v>
      </c>
      <c r="M81" s="4" t="s">
        <v>104</v>
      </c>
    </row>
    <row r="82" spans="1:13" x14ac:dyDescent="0.25">
      <c r="A82" s="2" t="s">
        <v>105</v>
      </c>
      <c r="B82" s="2" t="s">
        <v>106</v>
      </c>
      <c r="C82" s="2" t="s">
        <v>78</v>
      </c>
      <c r="D82" s="2" t="s">
        <v>56</v>
      </c>
      <c r="E82" s="2" t="s">
        <v>277</v>
      </c>
      <c r="F82" s="2" t="s">
        <v>278</v>
      </c>
      <c r="G82" s="2" t="s">
        <v>124</v>
      </c>
      <c r="H82" s="2" t="s">
        <v>279</v>
      </c>
      <c r="I82" s="2">
        <f>IFERROR(INDEX('Thành viên'!$B$2:$B$4,MATCH(C82,'Thành viên'!$A$2:$A$4,0))&amp;"","")</f>
      </c>
      <c r="J82" s="3">
        <v>46310</v>
      </c>
      <c r="K82" s="3">
        <v>46311</v>
      </c>
      <c r="L82" s="5" t="s">
        <v>19</v>
      </c>
      <c r="M82" s="4" t="s">
        <v>108</v>
      </c>
    </row>
    <row r="83" spans="1:13" x14ac:dyDescent="0.25">
      <c r="A83" s="2" t="s">
        <v>105</v>
      </c>
      <c r="B83" s="2" t="s">
        <v>106</v>
      </c>
      <c r="C83" s="2" t="s">
        <v>78</v>
      </c>
      <c r="D83" s="2" t="s">
        <v>56</v>
      </c>
      <c r="E83" s="2" t="s">
        <v>277</v>
      </c>
      <c r="F83" s="2" t="s">
        <v>278</v>
      </c>
      <c r="G83" s="2" t="s">
        <v>129</v>
      </c>
      <c r="H83" s="2" t="s">
        <v>280</v>
      </c>
      <c r="I83" s="2">
        <f>IFERROR(INDEX('Thành viên'!$C$2:$C$4,MATCH(C83,'Thành viên'!$A$2:$A$4,0))&amp;"","")</f>
      </c>
      <c r="J83" s="3">
        <v>46310</v>
      </c>
      <c r="K83" s="3">
        <v>46311</v>
      </c>
      <c r="L83" s="5" t="s">
        <v>19</v>
      </c>
      <c r="M83" s="4" t="s">
        <v>108</v>
      </c>
    </row>
    <row r="84" spans="1:13" x14ac:dyDescent="0.25">
      <c r="A84" s="2" t="s">
        <v>109</v>
      </c>
      <c r="B84" s="2" t="s">
        <v>110</v>
      </c>
      <c r="C84" s="2" t="s">
        <v>78</v>
      </c>
      <c r="D84" s="2" t="s">
        <v>56</v>
      </c>
      <c r="E84" s="2" t="s">
        <v>281</v>
      </c>
      <c r="F84" s="2" t="s">
        <v>282</v>
      </c>
      <c r="G84" s="2" t="s">
        <v>124</v>
      </c>
      <c r="H84" s="2" t="s">
        <v>283</v>
      </c>
      <c r="I84" s="2">
        <f>IFERROR(INDEX('Thành viên'!$B$2:$B$4,MATCH(C84,'Thành viên'!$A$2:$A$4,0))&amp;"","")</f>
      </c>
      <c r="J84" s="3">
        <v>46312</v>
      </c>
      <c r="K84" s="3">
        <v>46313</v>
      </c>
      <c r="L84" s="5" t="s">
        <v>19</v>
      </c>
      <c r="M84" s="4" t="s">
        <v>112</v>
      </c>
    </row>
    <row r="85" spans="1:13" x14ac:dyDescent="0.25">
      <c r="A85" s="2" t="s">
        <v>109</v>
      </c>
      <c r="B85" s="2" t="s">
        <v>110</v>
      </c>
      <c r="C85" s="2" t="s">
        <v>78</v>
      </c>
      <c r="D85" s="2" t="s">
        <v>56</v>
      </c>
      <c r="E85" s="2" t="s">
        <v>281</v>
      </c>
      <c r="F85" s="2" t="s">
        <v>282</v>
      </c>
      <c r="G85" s="2" t="s">
        <v>129</v>
      </c>
      <c r="H85" s="2" t="s">
        <v>284</v>
      </c>
      <c r="I85" s="2">
        <f>IFERROR(INDEX('Thành viên'!$C$2:$C$4,MATCH(C85,'Thành viên'!$A$2:$A$4,0))&amp;"","")</f>
      </c>
      <c r="J85" s="3">
        <v>46312</v>
      </c>
      <c r="K85" s="3">
        <v>46313</v>
      </c>
      <c r="L85" s="5" t="s">
        <v>19</v>
      </c>
      <c r="M85" s="4" t="s">
        <v>112</v>
      </c>
    </row>
    <row r="86" spans="1:13" x14ac:dyDescent="0.25">
      <c r="A86" s="2" t="s">
        <v>109</v>
      </c>
      <c r="B86" s="2" t="s">
        <v>110</v>
      </c>
      <c r="C86" s="2" t="s">
        <v>78</v>
      </c>
      <c r="D86" s="2" t="s">
        <v>56</v>
      </c>
      <c r="E86" s="2" t="s">
        <v>285</v>
      </c>
      <c r="F86" s="2" t="s">
        <v>286</v>
      </c>
      <c r="G86" s="2" t="s">
        <v>124</v>
      </c>
      <c r="H86" s="2" t="s">
        <v>287</v>
      </c>
      <c r="I86" s="2">
        <f>IFERROR(INDEX('Thành viên'!$B$2:$B$4,MATCH(C86,'Thành viên'!$A$2:$A$4,0))&amp;"","")</f>
      </c>
      <c r="J86" s="3">
        <v>46312</v>
      </c>
      <c r="K86" s="3">
        <v>46313</v>
      </c>
      <c r="L86" s="5" t="s">
        <v>19</v>
      </c>
      <c r="M86" s="4" t="s">
        <v>112</v>
      </c>
    </row>
    <row r="87" spans="1:13" x14ac:dyDescent="0.25">
      <c r="A87" s="2" t="s">
        <v>109</v>
      </c>
      <c r="B87" s="2" t="s">
        <v>110</v>
      </c>
      <c r="C87" s="2" t="s">
        <v>78</v>
      </c>
      <c r="D87" s="2" t="s">
        <v>56</v>
      </c>
      <c r="E87" s="2" t="s">
        <v>285</v>
      </c>
      <c r="F87" s="2" t="s">
        <v>286</v>
      </c>
      <c r="G87" s="2" t="s">
        <v>129</v>
      </c>
      <c r="H87" s="2" t="s">
        <v>288</v>
      </c>
      <c r="I87" s="2">
        <f>IFERROR(INDEX('Thành viên'!$C$2:$C$4,MATCH(C87,'Thành viên'!$A$2:$A$4,0))&amp;"","")</f>
      </c>
      <c r="J87" s="3">
        <v>46312</v>
      </c>
      <c r="K87" s="3">
        <v>46313</v>
      </c>
      <c r="L87" s="5" t="s">
        <v>19</v>
      </c>
      <c r="M87" s="4" t="s">
        <v>112</v>
      </c>
    </row>
    <row r="88" spans="1:13" x14ac:dyDescent="0.25">
      <c r="A88" s="2" t="s">
        <v>113</v>
      </c>
      <c r="B88" s="2" t="s">
        <v>114</v>
      </c>
      <c r="C88" s="2" t="s">
        <v>14</v>
      </c>
      <c r="D88" s="2" t="s">
        <v>56</v>
      </c>
      <c r="E88" s="2" t="s">
        <v>289</v>
      </c>
      <c r="F88" s="2" t="s">
        <v>290</v>
      </c>
      <c r="G88" s="2" t="s">
        <v>124</v>
      </c>
      <c r="H88" s="2" t="s">
        <v>291</v>
      </c>
      <c r="I88" s="2">
        <f>IFERROR(INDEX('Thành viên'!$B$2:$B$4,MATCH(C88,'Thành viên'!$A$2:$A$4,0))&amp;"","")</f>
      </c>
      <c r="J88" s="3">
        <v>46307</v>
      </c>
      <c r="K88" s="3">
        <v>46313</v>
      </c>
      <c r="L88" s="5" t="s">
        <v>19</v>
      </c>
      <c r="M88" s="4" t="s">
        <v>116</v>
      </c>
    </row>
    <row r="89" spans="1:13" x14ac:dyDescent="0.25">
      <c r="A89" s="2" t="s">
        <v>113</v>
      </c>
      <c r="B89" s="2" t="s">
        <v>114</v>
      </c>
      <c r="C89" s="2" t="s">
        <v>14</v>
      </c>
      <c r="D89" s="2" t="s">
        <v>56</v>
      </c>
      <c r="E89" s="2" t="s">
        <v>289</v>
      </c>
      <c r="F89" s="2" t="s">
        <v>290</v>
      </c>
      <c r="G89" s="2" t="s">
        <v>129</v>
      </c>
      <c r="H89" s="2" t="s">
        <v>292</v>
      </c>
      <c r="I89" s="2">
        <f>IFERROR(INDEX('Thành viên'!$C$2:$C$4,MATCH(C89,'Thành viên'!$A$2:$A$4,0))&amp;"","")</f>
      </c>
      <c r="J89" s="3">
        <v>46307</v>
      </c>
      <c r="K89" s="3">
        <v>46313</v>
      </c>
      <c r="L89" s="5" t="s">
        <v>19</v>
      </c>
      <c r="M89" s="4" t="s">
        <v>116</v>
      </c>
    </row>
    <row r="91" spans="1:1" x14ac:dyDescent="0.25">
      <c r="A91" s="6" t="s">
        <v>293</v>
      </c>
    </row>
  </sheetData>
  <autoFilter ref="A1:M89"/>
  <dataValidations count="2">
    <dataValidation type="list" sqref="L10:L89">
      <formula1>"Todo,In Progress,Done"</formula1>
    </dataValidation>
    <dataValidation type="list" sqref="L2:L89">
      <formula1>"Todo,In Progress,Done"</formula1>
    </dataValidation>
  </dataValidations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5" width="10" customWidth="1"/>
  </cols>
  <sheetData>
    <row r="1" spans="1:5" x14ac:dyDescent="0.25">
      <c r="A1" s="1" t="s">
        <v>5</v>
      </c>
      <c r="B1" s="1" t="s">
        <v>2</v>
      </c>
      <c r="C1" s="1" t="s">
        <v>294</v>
      </c>
      <c r="D1" s="1" t="s">
        <v>295</v>
      </c>
      <c r="E1" s="1" t="s">
        <v>296</v>
      </c>
    </row>
    <row r="2" spans="1:5" x14ac:dyDescent="0.25">
      <c r="A2" s="2" t="s">
        <v>15</v>
      </c>
      <c r="B2" s="2" t="s">
        <v>22</v>
      </c>
      <c r="C2" s="2">
        <f>COUNTIFS('Phân công'!$F$2:$F$26,A2,'Phân công'!$C$2:$C$26,B2)</f>
      </c>
      <c r="D2" s="2">
        <f>COUNTIFS('Phân công'!$F$2:$F$26,A2,'Phân công'!$C$2:$C$26,B2,'Phân công'!$L$2:$L$26,"Done")</f>
      </c>
      <c r="E2" s="7">
        <f>IF(C2=0,"-",D2/C2)</f>
      </c>
    </row>
    <row r="3" spans="1:5" x14ac:dyDescent="0.25">
      <c r="A3" s="2" t="s">
        <v>15</v>
      </c>
      <c r="B3" s="2" t="s">
        <v>78</v>
      </c>
      <c r="C3" s="2">
        <f>COUNTIFS('Phân công'!$F$2:$F$26,A3,'Phân công'!$C$2:$C$26,B3)</f>
      </c>
      <c r="D3" s="2">
        <f>COUNTIFS('Phân công'!$F$2:$F$26,A3,'Phân công'!$C$2:$C$26,B3,'Phân công'!$L$2:$L$26,"Done")</f>
      </c>
      <c r="E3" s="7">
        <f>IF(C3=0,"-",D3/C3)</f>
      </c>
    </row>
    <row r="4" spans="1:5" x14ac:dyDescent="0.25">
      <c r="A4" s="2" t="s">
        <v>15</v>
      </c>
      <c r="B4" s="2" t="s">
        <v>14</v>
      </c>
      <c r="C4" s="2">
        <f>COUNTIFS('Phân công'!$F$2:$F$26,A4,'Phân công'!$C$2:$C$26,B4)</f>
      </c>
      <c r="D4" s="2">
        <f>COUNTIFS('Phân công'!$F$2:$F$26,A4,'Phân công'!$C$2:$C$26,B4,'Phân công'!$L$2:$L$26,"Done")</f>
      </c>
      <c r="E4" s="7">
        <f>IF(C4=0,"-",D4/C4)</f>
      </c>
    </row>
    <row r="5" spans="1:5" x14ac:dyDescent="0.25">
      <c r="A5" s="2" t="s">
        <v>42</v>
      </c>
      <c r="B5" s="2" t="s">
        <v>22</v>
      </c>
      <c r="C5" s="2">
        <f>COUNTIFS('Phân công'!$F$2:$F$26,A5,'Phân công'!$C$2:$C$26,B5)</f>
      </c>
      <c r="D5" s="2">
        <f>COUNTIFS('Phân công'!$F$2:$F$26,A5,'Phân công'!$C$2:$C$26,B5,'Phân công'!$L$2:$L$26,"Done")</f>
      </c>
      <c r="E5" s="7">
        <f>IF(C5=0,"-",D5/C5)</f>
      </c>
    </row>
    <row r="6" spans="1:5" x14ac:dyDescent="0.25">
      <c r="A6" s="2" t="s">
        <v>42</v>
      </c>
      <c r="B6" s="2" t="s">
        <v>78</v>
      </c>
      <c r="C6" s="2">
        <f>COUNTIFS('Phân công'!$F$2:$F$26,A6,'Phân công'!$C$2:$C$26,B6)</f>
      </c>
      <c r="D6" s="2">
        <f>COUNTIFS('Phân công'!$F$2:$F$26,A6,'Phân công'!$C$2:$C$26,B6,'Phân công'!$L$2:$L$26,"Done")</f>
      </c>
      <c r="E6" s="7">
        <f>IF(C6=0,"-",D6/C6)</f>
      </c>
    </row>
    <row r="7" spans="1:5" x14ac:dyDescent="0.25">
      <c r="A7" s="2" t="s">
        <v>42</v>
      </c>
      <c r="B7" s="2" t="s">
        <v>14</v>
      </c>
      <c r="C7" s="2">
        <f>COUNTIFS('Phân công'!$F$2:$F$26,A7,'Phân công'!$C$2:$C$26,B7)</f>
      </c>
      <c r="D7" s="2">
        <f>COUNTIFS('Phân công'!$F$2:$F$26,A7,'Phân công'!$C$2:$C$26,B7,'Phân công'!$L$2:$L$26,"Done")</f>
      </c>
      <c r="E7" s="7">
        <f>IF(C7=0,"-",D7/C7)</f>
      </c>
    </row>
    <row r="8" spans="1:5" x14ac:dyDescent="0.25">
      <c r="A8" s="2" t="s">
        <v>56</v>
      </c>
      <c r="B8" s="2" t="s">
        <v>22</v>
      </c>
      <c r="C8" s="2">
        <f>COUNTIFS('Phân công'!$F$2:$F$26,A8,'Phân công'!$C$2:$C$26,B8)</f>
      </c>
      <c r="D8" s="2">
        <f>COUNTIFS('Phân công'!$F$2:$F$26,A8,'Phân công'!$C$2:$C$26,B8,'Phân công'!$L$2:$L$26,"Done")</f>
      </c>
      <c r="E8" s="7">
        <f>IF(C8=0,"-",D8/C8)</f>
      </c>
    </row>
    <row r="9" spans="1:5" x14ac:dyDescent="0.25">
      <c r="A9" s="2" t="s">
        <v>56</v>
      </c>
      <c r="B9" s="2" t="s">
        <v>78</v>
      </c>
      <c r="C9" s="2">
        <f>COUNTIFS('Phân công'!$F$2:$F$26,A9,'Phân công'!$C$2:$C$26,B9)</f>
      </c>
      <c r="D9" s="2">
        <f>COUNTIFS('Phân công'!$F$2:$F$26,A9,'Phân công'!$C$2:$C$26,B9,'Phân công'!$L$2:$L$26,"Done")</f>
      </c>
      <c r="E9" s="7">
        <f>IF(C9=0,"-",D9/C9)</f>
      </c>
    </row>
    <row r="10" spans="1:5" x14ac:dyDescent="0.25">
      <c r="A10" s="2" t="s">
        <v>56</v>
      </c>
      <c r="B10" s="2" t="s">
        <v>14</v>
      </c>
      <c r="C10" s="2">
        <f>COUNTIFS('Phân công'!$F$2:$F$26,A10,'Phân công'!$C$2:$C$26,B10)</f>
      </c>
      <c r="D10" s="2">
        <f>COUNTIFS('Phân công'!$F$2:$F$26,A10,'Phân công'!$C$2:$C$26,B10,'Phân công'!$L$2:$L$26,"Done")</f>
      </c>
      <c r="E10" s="7">
        <f>IF(C10=0,"-",D10/C10)</f>
      </c>
    </row>
    <row r="11" spans="1:5" x14ac:dyDescent="0.25">
      <c r="A11" s="8" t="s">
        <v>297</v>
      </c>
      <c r="B11" s="8" t="s">
        <v>298</v>
      </c>
      <c r="C11" s="8">
        <f>SUM(C2:C10)</f>
      </c>
      <c r="D11" s="8">
        <f>SUM(D2:D10)</f>
      </c>
      <c r="E11" s="9">
        <f>IF(C11=0,"-",D11/C11)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3" width="28" customWidth="1"/>
  </cols>
  <sheetData>
    <row r="1" spans="1:3" x14ac:dyDescent="0.25">
      <c r="A1" s="1" t="s">
        <v>2</v>
      </c>
      <c r="B1" s="1" t="s">
        <v>299</v>
      </c>
      <c r="C1" s="1" t="s">
        <v>300</v>
      </c>
    </row>
    <row r="2" spans="1:3" x14ac:dyDescent="0.25">
      <c r="A2" s="2" t="s">
        <v>22</v>
      </c>
      <c r="B2" s="10"/>
      <c r="C2" s="10"/>
    </row>
    <row r="3" spans="1:3" x14ac:dyDescent="0.25">
      <c r="A3" s="2" t="s">
        <v>78</v>
      </c>
      <c r="B3" s="10"/>
      <c r="C3" s="10"/>
    </row>
    <row r="4" spans="1:3" x14ac:dyDescent="0.25">
      <c r="A4" s="2" t="s">
        <v>14</v>
      </c>
      <c r="B4" s="10" t="s">
        <v>301</v>
      </c>
      <c r="C4" s="10" t="s">
        <v>302</v>
      </c>
    </row>
    <row r="6" spans="1:1" x14ac:dyDescent="0.25">
      <c r="A6" s="6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8" customWidth="1"/>
    <col min="2" max="2" width="22" customWidth="1"/>
    <col min="3" max="3" width="80" customWidth="1"/>
  </cols>
  <sheetData>
    <row r="1" spans="1:3" x14ac:dyDescent="0.25">
      <c r="A1" s="1" t="s">
        <v>304</v>
      </c>
      <c r="B1" s="1" t="s">
        <v>305</v>
      </c>
      <c r="C1" s="1" t="s">
        <v>306</v>
      </c>
    </row>
    <row r="2" spans="1:3" x14ac:dyDescent="0.25">
      <c r="A2" s="2" t="s">
        <v>307</v>
      </c>
      <c r="B2" s="2" t="s">
        <v>78</v>
      </c>
      <c r="C2" s="2" t="s">
        <v>308</v>
      </c>
    </row>
    <row r="3" spans="1:3" x14ac:dyDescent="0.25">
      <c r="A3" s="2" t="s">
        <v>309</v>
      </c>
      <c r="B3" s="2" t="s">
        <v>78</v>
      </c>
      <c r="C3" s="2" t="s">
        <v>310</v>
      </c>
    </row>
    <row r="4" spans="1:3" x14ac:dyDescent="0.25">
      <c r="A4" s="2" t="s">
        <v>311</v>
      </c>
      <c r="B4" s="2" t="s">
        <v>312</v>
      </c>
      <c r="C4" s="2" t="s">
        <v>313</v>
      </c>
    </row>
    <row r="5" spans="1:3" x14ac:dyDescent="0.25">
      <c r="A5" s="2" t="s">
        <v>314</v>
      </c>
      <c r="B5" s="2" t="s">
        <v>315</v>
      </c>
      <c r="C5" s="2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Phân công</vt:lpstr>
      <vt:lpstr>Chi tiết theo luồng</vt:lpstr>
      <vt:lpstr>Tổng quan</vt:lpstr>
      <vt:lpstr>Thành viên</vt:lpstr>
      <vt:lpstr>Điểm nối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2026-09-30T07:37:06Z</dcterms:created>
  <dcterms:modified xsi:type="dcterms:W3CDTF">2026-09-30T07:37:06Z</dcterms:modified>
</cp:coreProperties>
</file>