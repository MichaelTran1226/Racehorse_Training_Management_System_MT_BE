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hân công" state="visible" r:id="rId4"/>
    <sheet sheetId="2" name="Tổng quan" state="visible" r:id="rId5"/>
    <sheet sheetId="3" name="Thành viên" state="visible" r:id="rId6"/>
    <sheet sheetId="4" name="Điểm nối" state="visible" r:id="rId7"/>
  </sheets>
  <calcPr calcId="171027" fullCalcOnLoad="1"/>
</workbook>
</file>

<file path=xl/sharedStrings.xml><?xml version="1.0" encoding="utf-8"?>
<sst xmlns="http://schemas.openxmlformats.org/spreadsheetml/2006/main" count="261" uniqueCount="140">
  <si>
    <t>Mã</t>
  </si>
  <si>
    <t>Task</t>
  </si>
  <si>
    <t>Cặp</t>
  </si>
  <si>
    <t>FE phụ trách</t>
  </si>
  <si>
    <t>BE phụ trách</t>
  </si>
  <si>
    <t>Sprint</t>
  </si>
  <si>
    <t>Bắt đầu</t>
  </si>
  <si>
    <t>Kết thúc</t>
  </si>
  <si>
    <t>Priority</t>
  </si>
  <si>
    <t>Chức năng (FR Tai_Lieu)</t>
  </si>
  <si>
    <t>Issue</t>
  </si>
  <si>
    <t>Trạng thái</t>
  </si>
  <si>
    <t>C-01</t>
  </si>
  <si>
    <t>Nền tảng FE: design tokens, Master layout &amp; routing</t>
  </si>
  <si>
    <t>Chung</t>
  </si>
  <si>
    <t>Sprint 1</t>
  </si>
  <si>
    <t>P0 Critical</t>
  </si>
  <si>
    <t>Nền tảng FE</t>
  </si>
  <si>
    <t>#31</t>
  </si>
  <si>
    <t>Todo</t>
  </si>
  <si>
    <t>P1-01</t>
  </si>
  <si>
    <t>Đăng nhập, JWT &amp; điều hướng 5 vai trò</t>
  </si>
  <si>
    <t>Cặp 1</t>
  </si>
  <si>
    <t>Auth (không có trong TaiLieu)</t>
  </si>
  <si>
    <t>#32</t>
  </si>
  <si>
    <t>P1-02</t>
  </si>
  <si>
    <t>Đăng ký Chủ ngựa &amp; xác thực OTP email</t>
  </si>
  <si>
    <t>#33</t>
  </si>
  <si>
    <t>P1-03</t>
  </si>
  <si>
    <t>Quên &amp; đặt lại mật khẩu</t>
  </si>
  <si>
    <t>#34</t>
  </si>
  <si>
    <t>P1-04</t>
  </si>
  <si>
    <t>Mời nhân sự nội bộ &amp; danh sách nhân sự</t>
  </si>
  <si>
    <t>#35</t>
  </si>
  <si>
    <t>P1-05</t>
  </si>
  <si>
    <t>RBAC 5 vai trò, route guard &amp; cách ly dữ liệu Chủ ngựa</t>
  </si>
  <si>
    <t>#36</t>
  </si>
  <si>
    <t>P1-06</t>
  </si>
  <si>
    <t>Nhật ký kiểm toán (Audit trail)</t>
  </si>
  <si>
    <t>#37</t>
  </si>
  <si>
    <t>P1-07</t>
  </si>
  <si>
    <t>Danh sách, tạo/sửa, chi tiết hồ sơ ngựa (6 tab)</t>
  </si>
  <si>
    <t>Sprint 2</t>
  </si>
  <si>
    <t>P1 High</t>
  </si>
  <si>
    <t>FR-1.01, FR-1.02, FR-1.03, FR-1.04, FR-1.26</t>
  </si>
  <si>
    <t>#38</t>
  </si>
  <si>
    <t>P1-08</t>
  </si>
  <si>
    <t>Trạng thái ngựa, nhóm y tế, badge/banner Khóa huấn luyện, lịch sử trạng thái</t>
  </si>
  <si>
    <t>FR-1.05, FR-1.06, FR-1.07, FR-1.17</t>
  </si>
  <si>
    <t>#39</t>
  </si>
  <si>
    <t>P1-09</t>
  </si>
  <si>
    <t>Sơ đồ chuồng trại, gán/chuyển/trả ô, danh mục khu &amp; ô chuồng</t>
  </si>
  <si>
    <t>FR-1.09, FR-1.10, FR-1.11, FR-1.12, FR-1.18, FR-1.24</t>
  </si>
  <si>
    <t>#40</t>
  </si>
  <si>
    <t>P1-10</t>
  </si>
  <si>
    <t>Nhân viên chăm sóc, lịch sinh hoạt hằng ngày &amp; lịch mẫu</t>
  </si>
  <si>
    <t>Sprint 3</t>
  </si>
  <si>
    <t>FR-1.13, FR-1.14, FR-1.15, FR-1.25</t>
  </si>
  <si>
    <t>#41</t>
  </si>
  <si>
    <t>P1-11</t>
  </si>
  <si>
    <t>Chủ sở hữu, ngừng quản lý/kích hoạt lại, xóa mềm &amp; khôi phục</t>
  </si>
  <si>
    <t>P3 Low</t>
  </si>
  <si>
    <t>FR-1.08, FR-1.16, FR-1.20, FR-1.21</t>
  </si>
  <si>
    <t>#42</t>
  </si>
  <si>
    <t>P1-12</t>
  </si>
  <si>
    <t>Danh mục Giống &amp; Màu lông</t>
  </si>
  <si>
    <t>FR-1.22, FR-1.23</t>
  </si>
  <si>
    <t>#43</t>
  </si>
  <si>
    <t>P1-13</t>
  </si>
  <si>
    <t>Dòng thời gian vòng đời ngựa</t>
  </si>
  <si>
    <t>FR-1.19</t>
  </si>
  <si>
    <t>#44</t>
  </si>
  <si>
    <t>P1-14</t>
  </si>
  <si>
    <t>Sơ đồ sức khỏe đàn ngựa 4 mã màu</t>
  </si>
  <si>
    <t>FR-3.01</t>
  </si>
  <si>
    <t>#45</t>
  </si>
  <si>
    <t>P2-01</t>
  </si>
  <si>
    <t>Hồ sơ y tế ngựa (6 tab), ghi chú quan sát, quyền xem Owner/Groom</t>
  </si>
  <si>
    <t>Cặp 2</t>
  </si>
  <si>
    <t>FR-3.02, FR-3.17, FR-3.18</t>
  </si>
  <si>
    <t>#46</t>
  </si>
  <si>
    <t>P2-02</t>
  </si>
  <si>
    <t>Bệnh án, phác đồ điều trị &amp; kê đơn thuốc</t>
  </si>
  <si>
    <t>FR-3.03, FR-3.04, FR-3.05, FR-3.06, FR-3.07, FR-3.20</t>
  </si>
  <si>
    <t>#47</t>
  </si>
  <si>
    <t>P2-03</t>
  </si>
  <si>
    <t>Mô hình chấn thương 2D &amp; tiến trình hồi phục</t>
  </si>
  <si>
    <t>FR-3.08, FR-3.09</t>
  </si>
  <si>
    <t>#48</t>
  </si>
  <si>
    <t>P2-04</t>
  </si>
  <si>
    <t>Khóa huấn luyện: đặt/gỡ/gia hạn, danh sách &amp; thông báo</t>
  </si>
  <si>
    <t>FR-3.10, FR-3.11, FR-3.12, FR-3.19</t>
  </si>
  <si>
    <t>#49</t>
  </si>
  <si>
    <t>P2-05</t>
  </si>
  <si>
    <t>Lịch chăm sóc định kỳ (tiêm phòng, tẩy giun, móng) &amp; danh mục loại</t>
  </si>
  <si>
    <t>FR-3.13, FR-3.14, FR-3.15, FR-3.16</t>
  </si>
  <si>
    <t>#50</t>
  </si>
  <si>
    <t>P2-06</t>
  </si>
  <si>
    <t>Giáo án huấn luyện: lập, sửa, kích hoạt, kết thúc, nhân bản</t>
  </si>
  <si>
    <t>FR-2.02, FR-2.03, FR-2.04, FR-2.05, FR-2.08, FR-2.18, FR-2.19, FR-2.21</t>
  </si>
  <si>
    <t>#51</t>
  </si>
  <si>
    <t>P2-07</t>
  </si>
  <si>
    <t>Chặn bài tập nặng khi có Khóa huấn luyện &amp; khôi phục</t>
  </si>
  <si>
    <t>FR-2.06, FR-2.07, FR-2.17</t>
  </si>
  <si>
    <t>#52</t>
  </si>
  <si>
    <t>P2-08</t>
  </si>
  <si>
    <t>Lịch tập, phân công Groom/nài, điều phối chạy thử</t>
  </si>
  <si>
    <t>FR-2.09, FR-2.10, FR-2.11, FR-2.12</t>
  </si>
  <si>
    <t>#53</t>
  </si>
  <si>
    <t>P2-09</t>
  </si>
  <si>
    <t>Kết quả buổi tập, biểu đồ thể lực, tổng quan huấn luyện</t>
  </si>
  <si>
    <t>FR-2.01, FR-2.13, FR-2.14, FR-2.15, FR-2.16, FR-2.20</t>
  </si>
  <si>
    <t>#54</t>
  </si>
  <si>
    <t>C-03</t>
  </si>
  <si>
    <t>Nghiệm thu toàn trình MVP-QA</t>
  </si>
  <si>
    <t>Toàn bộ Flow 1–3</t>
  </si>
  <si>
    <t>#55</t>
  </si>
  <si>
    <t>Số task</t>
  </si>
  <si>
    <t>Done</t>
  </si>
  <si>
    <t>Tiến độ</t>
  </si>
  <si>
    <t>Tổng</t>
  </si>
  <si>
    <t/>
  </si>
  <si>
    <t>Frontend</t>
  </si>
  <si>
    <t>Backend</t>
  </si>
  <si>
    <t>Cả 2 FE</t>
  </si>
  <si>
    <t>Cả 2 BE</t>
  </si>
  <si>
    <t>Hướng dẫn: điền tên (hoặc GitHub username) vào các ô vàng. Sheet "Phân công" tự lấy tên theo cặp.</t>
  </si>
  <si>
    <t>Cặp cung cấp</t>
  </si>
  <si>
    <t>Cặp dùng</t>
  </si>
  <si>
    <t>Nội dung cần thống nhất API</t>
  </si>
  <si>
    <t>Cặp 1 (P1-05)</t>
  </si>
  <si>
    <t>Đăng nhập, vai trò, cách ly dữ liệu Owner — mọi API của Cặp 2 dùng chung guard</t>
  </si>
  <si>
    <t>Cặp 1 (P1-07, P1-09, P1-10)</t>
  </si>
  <si>
    <t>Danh sách ngựa, trạng thái, ô chuồng, nhân viên chăm sóc phụ trách</t>
  </si>
  <si>
    <t>Cặp 2 (P2-04)</t>
  </si>
  <si>
    <t>Cặp 1 (P1-08, P1-14)</t>
  </si>
  <si>
    <t>Đặt/gỡ Khóa huấn luyện → đổi trạng thái ngựa, bật/tắt banner, màu trên sơ đồ sức khỏe</t>
  </si>
  <si>
    <t>Cặp 2 (P2-02, P2-06 → P2-09)</t>
  </si>
  <si>
    <t>Cặp 1 (P1-13)</t>
  </si>
  <si>
    <t>Sự kiện y tế &amp; huấn luyện cho dòng thời gian ngựa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</si>
</sst>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0"/>
      <name val="Arial"/>
    </font>
    <font>
      <u/>
      <color rgb="FF0563C1"/>
      <sz val="10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315D4B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2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9" fontId="4" fillId="0" borderId="0" xfId="0" applyNumberFormat="1" applyFont="1" applyAlignment="1">
      <alignment vertical="top" wrapText="1"/>
    </xf>
    <xf numFmtId="0" fontId="0" fillId="3" borderId="0" xfId="0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MichaelTran1226/Racehorse_Training_Management_System_MT_BE/issues/31" TargetMode="External"/><Relationship Id="rId2" Type="http://schemas.openxmlformats.org/officeDocument/2006/relationships/hyperlink" Target="https://github.com/MichaelTran1226/Racehorse_Training_Management_System_MT_BE/issues/32" TargetMode="External"/><Relationship Id="rId3" Type="http://schemas.openxmlformats.org/officeDocument/2006/relationships/hyperlink" Target="https://github.com/MichaelTran1226/Racehorse_Training_Management_System_MT_BE/issues/33" TargetMode="External"/><Relationship Id="rId4" Type="http://schemas.openxmlformats.org/officeDocument/2006/relationships/hyperlink" Target="https://github.com/MichaelTran1226/Racehorse_Training_Management_System_MT_BE/issues/34" TargetMode="External"/><Relationship Id="rId5" Type="http://schemas.openxmlformats.org/officeDocument/2006/relationships/hyperlink" Target="https://github.com/MichaelTran1226/Racehorse_Training_Management_System_MT_BE/issues/35" TargetMode="External"/><Relationship Id="rId6" Type="http://schemas.openxmlformats.org/officeDocument/2006/relationships/hyperlink" Target="https://github.com/MichaelTran1226/Racehorse_Training_Management_System_MT_BE/issues/36" TargetMode="External"/><Relationship Id="rId7" Type="http://schemas.openxmlformats.org/officeDocument/2006/relationships/hyperlink" Target="https://github.com/MichaelTran1226/Racehorse_Training_Management_System_MT_BE/issues/37" TargetMode="External"/><Relationship Id="rId8" Type="http://schemas.openxmlformats.org/officeDocument/2006/relationships/hyperlink" Target="https://github.com/MichaelTran1226/Racehorse_Training_Management_System_MT_BE/issues/38" TargetMode="External"/><Relationship Id="rId9" Type="http://schemas.openxmlformats.org/officeDocument/2006/relationships/hyperlink" Target="https://github.com/MichaelTran1226/Racehorse_Training_Management_System_MT_BE/issues/39" TargetMode="External"/><Relationship Id="rId10" Type="http://schemas.openxmlformats.org/officeDocument/2006/relationships/hyperlink" Target="https://github.com/MichaelTran1226/Racehorse_Training_Management_System_MT_BE/issues/40" TargetMode="External"/><Relationship Id="rId11" Type="http://schemas.openxmlformats.org/officeDocument/2006/relationships/hyperlink" Target="https://github.com/MichaelTran1226/Racehorse_Training_Management_System_MT_BE/issues/41" TargetMode="External"/><Relationship Id="rId12" Type="http://schemas.openxmlformats.org/officeDocument/2006/relationships/hyperlink" Target="https://github.com/MichaelTran1226/Racehorse_Training_Management_System_MT_BE/issues/42" TargetMode="External"/><Relationship Id="rId13" Type="http://schemas.openxmlformats.org/officeDocument/2006/relationships/hyperlink" Target="https://github.com/MichaelTran1226/Racehorse_Training_Management_System_MT_BE/issues/43" TargetMode="External"/><Relationship Id="rId14" Type="http://schemas.openxmlformats.org/officeDocument/2006/relationships/hyperlink" Target="https://github.com/MichaelTran1226/Racehorse_Training_Management_System_MT_BE/issues/44" TargetMode="External"/><Relationship Id="rId15" Type="http://schemas.openxmlformats.org/officeDocument/2006/relationships/hyperlink" Target="https://github.com/MichaelTran1226/Racehorse_Training_Management_System_MT_BE/issues/45" TargetMode="External"/><Relationship Id="rId16" Type="http://schemas.openxmlformats.org/officeDocument/2006/relationships/hyperlink" Target="https://github.com/MichaelTran1226/Racehorse_Training_Management_System_MT_BE/issues/46" TargetMode="External"/><Relationship Id="rId17" Type="http://schemas.openxmlformats.org/officeDocument/2006/relationships/hyperlink" Target="https://github.com/MichaelTran1226/Racehorse_Training_Management_System_MT_BE/issues/47" TargetMode="External"/><Relationship Id="rId18" Type="http://schemas.openxmlformats.org/officeDocument/2006/relationships/hyperlink" Target="https://github.com/MichaelTran1226/Racehorse_Training_Management_System_MT_BE/issues/48" TargetMode="External"/><Relationship Id="rId19" Type="http://schemas.openxmlformats.org/officeDocument/2006/relationships/hyperlink" Target="https://github.com/MichaelTran1226/Racehorse_Training_Management_System_MT_BE/issues/49" TargetMode="External"/><Relationship Id="rId20" Type="http://schemas.openxmlformats.org/officeDocument/2006/relationships/hyperlink" Target="https://github.com/MichaelTran1226/Racehorse_Training_Management_System_MT_BE/issues/50" TargetMode="External"/><Relationship Id="rId21" Type="http://schemas.openxmlformats.org/officeDocument/2006/relationships/hyperlink" Target="https://github.com/MichaelTran1226/Racehorse_Training_Management_System_MT_BE/issues/51" TargetMode="External"/><Relationship Id="rId22" Type="http://schemas.openxmlformats.org/officeDocument/2006/relationships/hyperlink" Target="https://github.com/MichaelTran1226/Racehorse_Training_Management_System_MT_BE/issues/52" TargetMode="External"/><Relationship Id="rId23" Type="http://schemas.openxmlformats.org/officeDocument/2006/relationships/hyperlink" Target="https://github.com/MichaelTran1226/Racehorse_Training_Management_System_MT_BE/issues/53" TargetMode="External"/><Relationship Id="rId24" Type="http://schemas.openxmlformats.org/officeDocument/2006/relationships/hyperlink" Target="https://github.com/MichaelTran1226/Racehorse_Training_Management_System_MT_BE/issues/54" TargetMode="External"/><Relationship Id="rId25" Type="http://schemas.openxmlformats.org/officeDocument/2006/relationships/hyperlink" Target="https://github.com/MichaelTran1226/Racehorse_Training_Management_System_MT_BE/issues/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2" width="52" customWidth="1"/>
    <col min="4" max="5" width="18" customWidth="1"/>
    <col min="6" max="6" width="10" customWidth="1"/>
    <col min="7" max="9" width="12" customWidth="1"/>
    <col min="10" max="10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>
        <f>IFERROR(INDEX('Thành viên'!$B$2:$B$4,MATCH(C2,'Thành viên'!$A$2:$A$4,0))&amp;"","")</f>
      </c>
      <c r="E2" s="2">
        <f>IFERROR(INDEX('Thành viên'!$C$2:$C$4,MATCH(C2,'Thành viên'!$A$2:$A$4,0))&amp;"","")</f>
      </c>
      <c r="F2" s="2" t="s">
        <v>15</v>
      </c>
      <c r="G2" s="3">
        <v>46293</v>
      </c>
      <c r="H2" s="3">
        <v>46299</v>
      </c>
      <c r="I2" s="2" t="s">
        <v>16</v>
      </c>
      <c r="J2" s="2" t="s">
        <v>17</v>
      </c>
      <c r="K2" s="4" t="s">
        <v>18</v>
      </c>
      <c r="L2" s="5" t="s">
        <v>19</v>
      </c>
    </row>
    <row r="3" spans="1:12" x14ac:dyDescent="0.25">
      <c r="A3" s="2" t="s">
        <v>20</v>
      </c>
      <c r="B3" s="2" t="s">
        <v>21</v>
      </c>
      <c r="C3" s="2" t="s">
        <v>22</v>
      </c>
      <c r="D3" s="2">
        <f>IFERROR(INDEX('Thành viên'!$B$2:$B$4,MATCH(C3,'Thành viên'!$A$2:$A$4,0))&amp;"","")</f>
      </c>
      <c r="E3" s="2">
        <f>IFERROR(INDEX('Thành viên'!$C$2:$C$4,MATCH(C3,'Thành viên'!$A$2:$A$4,0))&amp;"","")</f>
      </c>
      <c r="F3" s="2" t="s">
        <v>15</v>
      </c>
      <c r="G3" s="3">
        <v>46293</v>
      </c>
      <c r="H3" s="3">
        <v>46299</v>
      </c>
      <c r="I3" s="2" t="s">
        <v>16</v>
      </c>
      <c r="J3" s="2" t="s">
        <v>23</v>
      </c>
      <c r="K3" s="4" t="s">
        <v>24</v>
      </c>
      <c r="L3" s="5" t="s">
        <v>19</v>
      </c>
    </row>
    <row r="4" spans="1:12" x14ac:dyDescent="0.25">
      <c r="A4" s="2" t="s">
        <v>25</v>
      </c>
      <c r="B4" s="2" t="s">
        <v>26</v>
      </c>
      <c r="C4" s="2" t="s">
        <v>22</v>
      </c>
      <c r="D4" s="2">
        <f>IFERROR(INDEX('Thành viên'!$B$2:$B$4,MATCH(C4,'Thành viên'!$A$2:$A$4,0))&amp;"","")</f>
      </c>
      <c r="E4" s="2">
        <f>IFERROR(INDEX('Thành viên'!$C$2:$C$4,MATCH(C4,'Thành viên'!$A$2:$A$4,0))&amp;"","")</f>
      </c>
      <c r="F4" s="2" t="s">
        <v>15</v>
      </c>
      <c r="G4" s="3">
        <v>46293</v>
      </c>
      <c r="H4" s="3">
        <v>46299</v>
      </c>
      <c r="I4" s="2" t="s">
        <v>16</v>
      </c>
      <c r="J4" s="2" t="s">
        <v>23</v>
      </c>
      <c r="K4" s="4" t="s">
        <v>27</v>
      </c>
      <c r="L4" s="5" t="s">
        <v>19</v>
      </c>
    </row>
    <row r="5" spans="1:12" x14ac:dyDescent="0.25">
      <c r="A5" s="2" t="s">
        <v>28</v>
      </c>
      <c r="B5" s="2" t="s">
        <v>29</v>
      </c>
      <c r="C5" s="2" t="s">
        <v>22</v>
      </c>
      <c r="D5" s="2">
        <f>IFERROR(INDEX('Thành viên'!$B$2:$B$4,MATCH(C5,'Thành viên'!$A$2:$A$4,0))&amp;"","")</f>
      </c>
      <c r="E5" s="2">
        <f>IFERROR(INDEX('Thành viên'!$C$2:$C$4,MATCH(C5,'Thành viên'!$A$2:$A$4,0))&amp;"","")</f>
      </c>
      <c r="F5" s="2" t="s">
        <v>15</v>
      </c>
      <c r="G5" s="3">
        <v>46293</v>
      </c>
      <c r="H5" s="3">
        <v>46299</v>
      </c>
      <c r="I5" s="2" t="s">
        <v>16</v>
      </c>
      <c r="J5" s="2" t="s">
        <v>23</v>
      </c>
      <c r="K5" s="4" t="s">
        <v>30</v>
      </c>
      <c r="L5" s="5" t="s">
        <v>19</v>
      </c>
    </row>
    <row r="6" spans="1:12" x14ac:dyDescent="0.25">
      <c r="A6" s="2" t="s">
        <v>31</v>
      </c>
      <c r="B6" s="2" t="s">
        <v>32</v>
      </c>
      <c r="C6" s="2" t="s">
        <v>22</v>
      </c>
      <c r="D6" s="2">
        <f>IFERROR(INDEX('Thành viên'!$B$2:$B$4,MATCH(C6,'Thành viên'!$A$2:$A$4,0))&amp;"","")</f>
      </c>
      <c r="E6" s="2">
        <f>IFERROR(INDEX('Thành viên'!$C$2:$C$4,MATCH(C6,'Thành viên'!$A$2:$A$4,0))&amp;"","")</f>
      </c>
      <c r="F6" s="2" t="s">
        <v>15</v>
      </c>
      <c r="G6" s="3">
        <v>46293</v>
      </c>
      <c r="H6" s="3">
        <v>46299</v>
      </c>
      <c r="I6" s="2" t="s">
        <v>16</v>
      </c>
      <c r="J6" s="2" t="s">
        <v>23</v>
      </c>
      <c r="K6" s="4" t="s">
        <v>33</v>
      </c>
      <c r="L6" s="5" t="s">
        <v>19</v>
      </c>
    </row>
    <row r="7" spans="1:12" x14ac:dyDescent="0.25">
      <c r="A7" s="2" t="s">
        <v>34</v>
      </c>
      <c r="B7" s="2" t="s">
        <v>35</v>
      </c>
      <c r="C7" s="2" t="s">
        <v>22</v>
      </c>
      <c r="D7" s="2">
        <f>IFERROR(INDEX('Thành viên'!$B$2:$B$4,MATCH(C7,'Thành viên'!$A$2:$A$4,0))&amp;"","")</f>
      </c>
      <c r="E7" s="2">
        <f>IFERROR(INDEX('Thành viên'!$C$2:$C$4,MATCH(C7,'Thành viên'!$A$2:$A$4,0))&amp;"","")</f>
      </c>
      <c r="F7" s="2" t="s">
        <v>15</v>
      </c>
      <c r="G7" s="3">
        <v>46293</v>
      </c>
      <c r="H7" s="3">
        <v>46299</v>
      </c>
      <c r="I7" s="2" t="s">
        <v>16</v>
      </c>
      <c r="J7" s="2" t="s">
        <v>23</v>
      </c>
      <c r="K7" s="4" t="s">
        <v>36</v>
      </c>
      <c r="L7" s="5" t="s">
        <v>19</v>
      </c>
    </row>
    <row r="8" spans="1:12" x14ac:dyDescent="0.25">
      <c r="A8" s="2" t="s">
        <v>37</v>
      </c>
      <c r="B8" s="2" t="s">
        <v>38</v>
      </c>
      <c r="C8" s="2" t="s">
        <v>22</v>
      </c>
      <c r="D8" s="2">
        <f>IFERROR(INDEX('Thành viên'!$B$2:$B$4,MATCH(C8,'Thành viên'!$A$2:$A$4,0))&amp;"","")</f>
      </c>
      <c r="E8" s="2">
        <f>IFERROR(INDEX('Thành viên'!$C$2:$C$4,MATCH(C8,'Thành viên'!$A$2:$A$4,0))&amp;"","")</f>
      </c>
      <c r="F8" s="2" t="s">
        <v>15</v>
      </c>
      <c r="G8" s="3">
        <v>46293</v>
      </c>
      <c r="H8" s="3">
        <v>46299</v>
      </c>
      <c r="I8" s="2" t="s">
        <v>16</v>
      </c>
      <c r="J8" s="2" t="s">
        <v>23</v>
      </c>
      <c r="K8" s="4" t="s">
        <v>39</v>
      </c>
      <c r="L8" s="5" t="s">
        <v>19</v>
      </c>
    </row>
    <row r="9" spans="1:12" x14ac:dyDescent="0.25">
      <c r="A9" s="2" t="s">
        <v>40</v>
      </c>
      <c r="B9" s="2" t="s">
        <v>41</v>
      </c>
      <c r="C9" s="2" t="s">
        <v>22</v>
      </c>
      <c r="D9" s="2">
        <f>IFERROR(INDEX('Thành viên'!$B$2:$B$4,MATCH(C9,'Thành viên'!$A$2:$A$4,0))&amp;"","")</f>
      </c>
      <c r="E9" s="2">
        <f>IFERROR(INDEX('Thành viên'!$C$2:$C$4,MATCH(C9,'Thành viên'!$A$2:$A$4,0))&amp;"","")</f>
      </c>
      <c r="F9" s="2" t="s">
        <v>42</v>
      </c>
      <c r="G9" s="3">
        <v>46300</v>
      </c>
      <c r="H9" s="3">
        <v>46306</v>
      </c>
      <c r="I9" s="2" t="s">
        <v>43</v>
      </c>
      <c r="J9" s="2" t="s">
        <v>44</v>
      </c>
      <c r="K9" s="4" t="s">
        <v>45</v>
      </c>
      <c r="L9" s="5" t="s">
        <v>19</v>
      </c>
    </row>
    <row r="10" spans="1:12" x14ac:dyDescent="0.25">
      <c r="A10" s="2" t="s">
        <v>46</v>
      </c>
      <c r="B10" s="2" t="s">
        <v>47</v>
      </c>
      <c r="C10" s="2" t="s">
        <v>22</v>
      </c>
      <c r="D10" s="2">
        <f>IFERROR(INDEX('Thành viên'!$B$2:$B$4,MATCH(C10,'Thành viên'!$A$2:$A$4,0))&amp;"","")</f>
      </c>
      <c r="E10" s="2">
        <f>IFERROR(INDEX('Thành viên'!$C$2:$C$4,MATCH(C10,'Thành viên'!$A$2:$A$4,0))&amp;"","")</f>
      </c>
      <c r="F10" s="2" t="s">
        <v>42</v>
      </c>
      <c r="G10" s="3">
        <v>46300</v>
      </c>
      <c r="H10" s="3">
        <v>46306</v>
      </c>
      <c r="I10" s="2" t="s">
        <v>16</v>
      </c>
      <c r="J10" s="2" t="s">
        <v>48</v>
      </c>
      <c r="K10" s="4" t="s">
        <v>49</v>
      </c>
      <c r="L10" s="5" t="s">
        <v>19</v>
      </c>
    </row>
    <row r="11" spans="1:12" x14ac:dyDescent="0.25">
      <c r="A11" s="2" t="s">
        <v>50</v>
      </c>
      <c r="B11" s="2" t="s">
        <v>51</v>
      </c>
      <c r="C11" s="2" t="s">
        <v>22</v>
      </c>
      <c r="D11" s="2">
        <f>IFERROR(INDEX('Thành viên'!$B$2:$B$4,MATCH(C11,'Thành viên'!$A$2:$A$4,0))&amp;"","")</f>
      </c>
      <c r="E11" s="2">
        <f>IFERROR(INDEX('Thành viên'!$C$2:$C$4,MATCH(C11,'Thành viên'!$A$2:$A$4,0))&amp;"","")</f>
      </c>
      <c r="F11" s="2" t="s">
        <v>42</v>
      </c>
      <c r="G11" s="3">
        <v>46300</v>
      </c>
      <c r="H11" s="3">
        <v>46306</v>
      </c>
      <c r="I11" s="2" t="s">
        <v>43</v>
      </c>
      <c r="J11" s="2" t="s">
        <v>52</v>
      </c>
      <c r="K11" s="4" t="s">
        <v>53</v>
      </c>
      <c r="L11" s="5" t="s">
        <v>19</v>
      </c>
    </row>
    <row r="12" spans="1:12" x14ac:dyDescent="0.25">
      <c r="A12" s="2" t="s">
        <v>54</v>
      </c>
      <c r="B12" s="2" t="s">
        <v>55</v>
      </c>
      <c r="C12" s="2" t="s">
        <v>22</v>
      </c>
      <c r="D12" s="2">
        <f>IFERROR(INDEX('Thành viên'!$B$2:$B$4,MATCH(C12,'Thành viên'!$A$2:$A$4,0))&amp;"","")</f>
      </c>
      <c r="E12" s="2">
        <f>IFERROR(INDEX('Thành viên'!$C$2:$C$4,MATCH(C12,'Thành viên'!$A$2:$A$4,0))&amp;"","")</f>
      </c>
      <c r="F12" s="2" t="s">
        <v>56</v>
      </c>
      <c r="G12" s="3">
        <v>46307</v>
      </c>
      <c r="H12" s="3">
        <v>46313</v>
      </c>
      <c r="I12" s="2" t="s">
        <v>43</v>
      </c>
      <c r="J12" s="2" t="s">
        <v>57</v>
      </c>
      <c r="K12" s="4" t="s">
        <v>58</v>
      </c>
      <c r="L12" s="5" t="s">
        <v>19</v>
      </c>
    </row>
    <row r="13" spans="1:12" x14ac:dyDescent="0.25">
      <c r="A13" s="2" t="s">
        <v>59</v>
      </c>
      <c r="B13" s="2" t="s">
        <v>60</v>
      </c>
      <c r="C13" s="2" t="s">
        <v>22</v>
      </c>
      <c r="D13" s="2">
        <f>IFERROR(INDEX('Thành viên'!$B$2:$B$4,MATCH(C13,'Thành viên'!$A$2:$A$4,0))&amp;"","")</f>
      </c>
      <c r="E13" s="2">
        <f>IFERROR(INDEX('Thành viên'!$C$2:$C$4,MATCH(C13,'Thành viên'!$A$2:$A$4,0))&amp;"","")</f>
      </c>
      <c r="F13" s="2" t="s">
        <v>56</v>
      </c>
      <c r="G13" s="3">
        <v>46307</v>
      </c>
      <c r="H13" s="3">
        <v>46313</v>
      </c>
      <c r="I13" s="2" t="s">
        <v>61</v>
      </c>
      <c r="J13" s="2" t="s">
        <v>62</v>
      </c>
      <c r="K13" s="4" t="s">
        <v>63</v>
      </c>
      <c r="L13" s="5" t="s">
        <v>19</v>
      </c>
    </row>
    <row r="14" spans="1:12" x14ac:dyDescent="0.25">
      <c r="A14" s="2" t="s">
        <v>64</v>
      </c>
      <c r="B14" s="2" t="s">
        <v>65</v>
      </c>
      <c r="C14" s="2" t="s">
        <v>22</v>
      </c>
      <c r="D14" s="2">
        <f>IFERROR(INDEX('Thành viên'!$B$2:$B$4,MATCH(C14,'Thành viên'!$A$2:$A$4,0))&amp;"","")</f>
      </c>
      <c r="E14" s="2">
        <f>IFERROR(INDEX('Thành viên'!$C$2:$C$4,MATCH(C14,'Thành viên'!$A$2:$A$4,0))&amp;"","")</f>
      </c>
      <c r="F14" s="2" t="s">
        <v>56</v>
      </c>
      <c r="G14" s="3">
        <v>46307</v>
      </c>
      <c r="H14" s="3">
        <v>46313</v>
      </c>
      <c r="I14" s="2" t="s">
        <v>61</v>
      </c>
      <c r="J14" s="2" t="s">
        <v>66</v>
      </c>
      <c r="K14" s="4" t="s">
        <v>67</v>
      </c>
      <c r="L14" s="5" t="s">
        <v>19</v>
      </c>
    </row>
    <row r="15" spans="1:12" x14ac:dyDescent="0.25">
      <c r="A15" s="2" t="s">
        <v>68</v>
      </c>
      <c r="B15" s="2" t="s">
        <v>69</v>
      </c>
      <c r="C15" s="2" t="s">
        <v>22</v>
      </c>
      <c r="D15" s="2">
        <f>IFERROR(INDEX('Thành viên'!$B$2:$B$4,MATCH(C15,'Thành viên'!$A$2:$A$4,0))&amp;"","")</f>
      </c>
      <c r="E15" s="2">
        <f>IFERROR(INDEX('Thành viên'!$C$2:$C$4,MATCH(C15,'Thành viên'!$A$2:$A$4,0))&amp;"","")</f>
      </c>
      <c r="F15" s="2" t="s">
        <v>56</v>
      </c>
      <c r="G15" s="3">
        <v>46307</v>
      </c>
      <c r="H15" s="3">
        <v>46313</v>
      </c>
      <c r="I15" s="2" t="s">
        <v>43</v>
      </c>
      <c r="J15" s="2" t="s">
        <v>70</v>
      </c>
      <c r="K15" s="4" t="s">
        <v>71</v>
      </c>
      <c r="L15" s="5" t="s">
        <v>19</v>
      </c>
    </row>
    <row r="16" spans="1:12" x14ac:dyDescent="0.25">
      <c r="A16" s="2" t="s">
        <v>72</v>
      </c>
      <c r="B16" s="2" t="s">
        <v>73</v>
      </c>
      <c r="C16" s="2" t="s">
        <v>22</v>
      </c>
      <c r="D16" s="2">
        <f>IFERROR(INDEX('Thành viên'!$B$2:$B$4,MATCH(C16,'Thành viên'!$A$2:$A$4,0))&amp;"","")</f>
      </c>
      <c r="E16" s="2">
        <f>IFERROR(INDEX('Thành viên'!$C$2:$C$4,MATCH(C16,'Thành viên'!$A$2:$A$4,0))&amp;"","")</f>
      </c>
      <c r="F16" s="2" t="s">
        <v>56</v>
      </c>
      <c r="G16" s="3">
        <v>46307</v>
      </c>
      <c r="H16" s="3">
        <v>46313</v>
      </c>
      <c r="I16" s="2" t="s">
        <v>43</v>
      </c>
      <c r="J16" s="2" t="s">
        <v>74</v>
      </c>
      <c r="K16" s="4" t="s">
        <v>75</v>
      </c>
      <c r="L16" s="5" t="s">
        <v>19</v>
      </c>
    </row>
    <row r="17" spans="1:12" x14ac:dyDescent="0.25">
      <c r="A17" s="2" t="s">
        <v>76</v>
      </c>
      <c r="B17" s="2" t="s">
        <v>77</v>
      </c>
      <c r="C17" s="2" t="s">
        <v>78</v>
      </c>
      <c r="D17" s="2">
        <f>IFERROR(INDEX('Thành viên'!$B$2:$B$4,MATCH(C17,'Thành viên'!$A$2:$A$4,0))&amp;"","")</f>
      </c>
      <c r="E17" s="2">
        <f>IFERROR(INDEX('Thành viên'!$C$2:$C$4,MATCH(C17,'Thành viên'!$A$2:$A$4,0))&amp;"","")</f>
      </c>
      <c r="F17" s="2" t="s">
        <v>15</v>
      </c>
      <c r="G17" s="3">
        <v>46293</v>
      </c>
      <c r="H17" s="3">
        <v>46299</v>
      </c>
      <c r="I17" s="2" t="s">
        <v>43</v>
      </c>
      <c r="J17" s="2" t="s">
        <v>79</v>
      </c>
      <c r="K17" s="4" t="s">
        <v>80</v>
      </c>
      <c r="L17" s="5" t="s">
        <v>19</v>
      </c>
    </row>
    <row r="18" spans="1:12" x14ac:dyDescent="0.25">
      <c r="A18" s="2" t="s">
        <v>81</v>
      </c>
      <c r="B18" s="2" t="s">
        <v>82</v>
      </c>
      <c r="C18" s="2" t="s">
        <v>78</v>
      </c>
      <c r="D18" s="2">
        <f>IFERROR(INDEX('Thành viên'!$B$2:$B$4,MATCH(C18,'Thành viên'!$A$2:$A$4,0))&amp;"","")</f>
      </c>
      <c r="E18" s="2">
        <f>IFERROR(INDEX('Thành viên'!$C$2:$C$4,MATCH(C18,'Thành viên'!$A$2:$A$4,0))&amp;"","")</f>
      </c>
      <c r="F18" s="2" t="s">
        <v>15</v>
      </c>
      <c r="G18" s="3">
        <v>46293</v>
      </c>
      <c r="H18" s="3">
        <v>46299</v>
      </c>
      <c r="I18" s="2" t="s">
        <v>43</v>
      </c>
      <c r="J18" s="2" t="s">
        <v>83</v>
      </c>
      <c r="K18" s="4" t="s">
        <v>84</v>
      </c>
      <c r="L18" s="5" t="s">
        <v>19</v>
      </c>
    </row>
    <row r="19" spans="1:12" x14ac:dyDescent="0.25">
      <c r="A19" s="2" t="s">
        <v>85</v>
      </c>
      <c r="B19" s="2" t="s">
        <v>86</v>
      </c>
      <c r="C19" s="2" t="s">
        <v>78</v>
      </c>
      <c r="D19" s="2">
        <f>IFERROR(INDEX('Thành viên'!$B$2:$B$4,MATCH(C19,'Thành viên'!$A$2:$A$4,0))&amp;"","")</f>
      </c>
      <c r="E19" s="2">
        <f>IFERROR(INDEX('Thành viên'!$C$2:$C$4,MATCH(C19,'Thành viên'!$A$2:$A$4,0))&amp;"","")</f>
      </c>
      <c r="F19" s="2" t="s">
        <v>42</v>
      </c>
      <c r="G19" s="3">
        <v>46300</v>
      </c>
      <c r="H19" s="3">
        <v>46306</v>
      </c>
      <c r="I19" s="2" t="s">
        <v>43</v>
      </c>
      <c r="J19" s="2" t="s">
        <v>87</v>
      </c>
      <c r="K19" s="4" t="s">
        <v>88</v>
      </c>
      <c r="L19" s="5" t="s">
        <v>19</v>
      </c>
    </row>
    <row r="20" spans="1:12" x14ac:dyDescent="0.25">
      <c r="A20" s="2" t="s">
        <v>89</v>
      </c>
      <c r="B20" s="2" t="s">
        <v>90</v>
      </c>
      <c r="C20" s="2" t="s">
        <v>78</v>
      </c>
      <c r="D20" s="2">
        <f>IFERROR(INDEX('Thành viên'!$B$2:$B$4,MATCH(C20,'Thành viên'!$A$2:$A$4,0))&amp;"","")</f>
      </c>
      <c r="E20" s="2">
        <f>IFERROR(INDEX('Thành viên'!$C$2:$C$4,MATCH(C20,'Thành viên'!$A$2:$A$4,0))&amp;"","")</f>
      </c>
      <c r="F20" s="2" t="s">
        <v>42</v>
      </c>
      <c r="G20" s="3">
        <v>46300</v>
      </c>
      <c r="H20" s="3">
        <v>46306</v>
      </c>
      <c r="I20" s="2" t="s">
        <v>16</v>
      </c>
      <c r="J20" s="2" t="s">
        <v>91</v>
      </c>
      <c r="K20" s="4" t="s">
        <v>92</v>
      </c>
      <c r="L20" s="5" t="s">
        <v>19</v>
      </c>
    </row>
    <row r="21" spans="1:12" x14ac:dyDescent="0.25">
      <c r="A21" s="2" t="s">
        <v>93</v>
      </c>
      <c r="B21" s="2" t="s">
        <v>94</v>
      </c>
      <c r="C21" s="2" t="s">
        <v>78</v>
      </c>
      <c r="D21" s="2">
        <f>IFERROR(INDEX('Thành viên'!$B$2:$B$4,MATCH(C21,'Thành viên'!$A$2:$A$4,0))&amp;"","")</f>
      </c>
      <c r="E21" s="2">
        <f>IFERROR(INDEX('Thành viên'!$C$2:$C$4,MATCH(C21,'Thành viên'!$A$2:$A$4,0))&amp;"","")</f>
      </c>
      <c r="F21" s="2" t="s">
        <v>42</v>
      </c>
      <c r="G21" s="3">
        <v>46300</v>
      </c>
      <c r="H21" s="3">
        <v>46306</v>
      </c>
      <c r="I21" s="2" t="s">
        <v>43</v>
      </c>
      <c r="J21" s="2" t="s">
        <v>95</v>
      </c>
      <c r="K21" s="4" t="s">
        <v>96</v>
      </c>
      <c r="L21" s="5" t="s">
        <v>19</v>
      </c>
    </row>
    <row r="22" spans="1:12" x14ac:dyDescent="0.25">
      <c r="A22" s="2" t="s">
        <v>97</v>
      </c>
      <c r="B22" s="2" t="s">
        <v>98</v>
      </c>
      <c r="C22" s="2" t="s">
        <v>78</v>
      </c>
      <c r="D22" s="2">
        <f>IFERROR(INDEX('Thành viên'!$B$2:$B$4,MATCH(C22,'Thành viên'!$A$2:$A$4,0))&amp;"","")</f>
      </c>
      <c r="E22" s="2">
        <f>IFERROR(INDEX('Thành viên'!$C$2:$C$4,MATCH(C22,'Thành viên'!$A$2:$A$4,0))&amp;"","")</f>
      </c>
      <c r="F22" s="2" t="s">
        <v>56</v>
      </c>
      <c r="G22" s="3">
        <v>46307</v>
      </c>
      <c r="H22" s="3">
        <v>46313</v>
      </c>
      <c r="I22" s="2" t="s">
        <v>43</v>
      </c>
      <c r="J22" s="2" t="s">
        <v>99</v>
      </c>
      <c r="K22" s="4" t="s">
        <v>100</v>
      </c>
      <c r="L22" s="5" t="s">
        <v>19</v>
      </c>
    </row>
    <row r="23" spans="1:12" x14ac:dyDescent="0.25">
      <c r="A23" s="2" t="s">
        <v>101</v>
      </c>
      <c r="B23" s="2" t="s">
        <v>102</v>
      </c>
      <c r="C23" s="2" t="s">
        <v>78</v>
      </c>
      <c r="D23" s="2">
        <f>IFERROR(INDEX('Thành viên'!$B$2:$B$4,MATCH(C23,'Thành viên'!$A$2:$A$4,0))&amp;"","")</f>
      </c>
      <c r="E23" s="2">
        <f>IFERROR(INDEX('Thành viên'!$C$2:$C$4,MATCH(C23,'Thành viên'!$A$2:$A$4,0))&amp;"","")</f>
      </c>
      <c r="F23" s="2" t="s">
        <v>56</v>
      </c>
      <c r="G23" s="3">
        <v>46307</v>
      </c>
      <c r="H23" s="3">
        <v>46313</v>
      </c>
      <c r="I23" s="2" t="s">
        <v>16</v>
      </c>
      <c r="J23" s="2" t="s">
        <v>103</v>
      </c>
      <c r="K23" s="4" t="s">
        <v>104</v>
      </c>
      <c r="L23" s="5" t="s">
        <v>19</v>
      </c>
    </row>
    <row r="24" spans="1:12" x14ac:dyDescent="0.25">
      <c r="A24" s="2" t="s">
        <v>105</v>
      </c>
      <c r="B24" s="2" t="s">
        <v>106</v>
      </c>
      <c r="C24" s="2" t="s">
        <v>78</v>
      </c>
      <c r="D24" s="2">
        <f>IFERROR(INDEX('Thành viên'!$B$2:$B$4,MATCH(C24,'Thành viên'!$A$2:$A$4,0))&amp;"","")</f>
      </c>
      <c r="E24" s="2">
        <f>IFERROR(INDEX('Thành viên'!$C$2:$C$4,MATCH(C24,'Thành viên'!$A$2:$A$4,0))&amp;"","")</f>
      </c>
      <c r="F24" s="2" t="s">
        <v>56</v>
      </c>
      <c r="G24" s="3">
        <v>46307</v>
      </c>
      <c r="H24" s="3">
        <v>46313</v>
      </c>
      <c r="I24" s="2" t="s">
        <v>43</v>
      </c>
      <c r="J24" s="2" t="s">
        <v>107</v>
      </c>
      <c r="K24" s="4" t="s">
        <v>108</v>
      </c>
      <c r="L24" s="5" t="s">
        <v>19</v>
      </c>
    </row>
    <row r="25" spans="1:12" x14ac:dyDescent="0.25">
      <c r="A25" s="2" t="s">
        <v>109</v>
      </c>
      <c r="B25" s="2" t="s">
        <v>110</v>
      </c>
      <c r="C25" s="2" t="s">
        <v>78</v>
      </c>
      <c r="D25" s="2">
        <f>IFERROR(INDEX('Thành viên'!$B$2:$B$4,MATCH(C25,'Thành viên'!$A$2:$A$4,0))&amp;"","")</f>
      </c>
      <c r="E25" s="2">
        <f>IFERROR(INDEX('Thành viên'!$C$2:$C$4,MATCH(C25,'Thành viên'!$A$2:$A$4,0))&amp;"","")</f>
      </c>
      <c r="F25" s="2" t="s">
        <v>56</v>
      </c>
      <c r="G25" s="3">
        <v>46307</v>
      </c>
      <c r="H25" s="3">
        <v>46313</v>
      </c>
      <c r="I25" s="2" t="s">
        <v>43</v>
      </c>
      <c r="J25" s="2" t="s">
        <v>111</v>
      </c>
      <c r="K25" s="4" t="s">
        <v>112</v>
      </c>
      <c r="L25" s="5" t="s">
        <v>19</v>
      </c>
    </row>
    <row r="26" spans="1:12" x14ac:dyDescent="0.25">
      <c r="A26" s="2" t="s">
        <v>113</v>
      </c>
      <c r="B26" s="2" t="s">
        <v>114</v>
      </c>
      <c r="C26" s="2" t="s">
        <v>14</v>
      </c>
      <c r="D26" s="2">
        <f>IFERROR(INDEX('Thành viên'!$B$2:$B$4,MATCH(C26,'Thành viên'!$A$2:$A$4,0))&amp;"","")</f>
      </c>
      <c r="E26" s="2">
        <f>IFERROR(INDEX('Thành viên'!$C$2:$C$4,MATCH(C26,'Thành viên'!$A$2:$A$4,0))&amp;"","")</f>
      </c>
      <c r="F26" s="2" t="s">
        <v>56</v>
      </c>
      <c r="G26" s="3">
        <v>46307</v>
      </c>
      <c r="H26" s="3">
        <v>46313</v>
      </c>
      <c r="I26" s="2" t="s">
        <v>43</v>
      </c>
      <c r="J26" s="2" t="s">
        <v>115</v>
      </c>
      <c r="K26" s="4" t="s">
        <v>116</v>
      </c>
      <c r="L26" s="5" t="s">
        <v>19</v>
      </c>
    </row>
  </sheetData>
  <autoFilter ref="A1:L26"/>
  <dataValidations count="2">
    <dataValidation type="list" sqref="L10:L26">
      <formula1>"Todo,In Progress,Done"</formula1>
    </dataValidation>
    <dataValidation type="list" sqref="L2:L26">
      <formula1>"Todo,In Progress,Done"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12" customWidth="1"/>
    <col min="2" max="5" width="10" customWidth="1"/>
  </cols>
  <sheetData>
    <row r="1" spans="1:5" x14ac:dyDescent="0.25">
      <c r="A1" s="1" t="s">
        <v>5</v>
      </c>
      <c r="B1" s="1" t="s">
        <v>2</v>
      </c>
      <c r="C1" s="1" t="s">
        <v>117</v>
      </c>
      <c r="D1" s="1" t="s">
        <v>118</v>
      </c>
      <c r="E1" s="1" t="s">
        <v>119</v>
      </c>
    </row>
    <row r="2" spans="1:5" x14ac:dyDescent="0.25">
      <c r="A2" s="2" t="s">
        <v>15</v>
      </c>
      <c r="B2" s="2" t="s">
        <v>22</v>
      </c>
      <c r="C2" s="2">
        <f>COUNTIFS('Phân công'!$F$2:$F$26,A2,'Phân công'!$C$2:$C$26,B2)</f>
      </c>
      <c r="D2" s="2">
        <f>COUNTIFS('Phân công'!$F$2:$F$26,A2,'Phân công'!$C$2:$C$26,B2,'Phân công'!$L$2:$L$26,"Done")</f>
      </c>
      <c r="E2" s="6">
        <f>IF(C2=0,"-",D2/C2)</f>
      </c>
    </row>
    <row r="3" spans="1:5" x14ac:dyDescent="0.25">
      <c r="A3" s="2" t="s">
        <v>15</v>
      </c>
      <c r="B3" s="2" t="s">
        <v>78</v>
      </c>
      <c r="C3" s="2">
        <f>COUNTIFS('Phân công'!$F$2:$F$26,A3,'Phân công'!$C$2:$C$26,B3)</f>
      </c>
      <c r="D3" s="2">
        <f>COUNTIFS('Phân công'!$F$2:$F$26,A3,'Phân công'!$C$2:$C$26,B3,'Phân công'!$L$2:$L$26,"Done")</f>
      </c>
      <c r="E3" s="6">
        <f>IF(C3=0,"-",D3/C3)</f>
      </c>
    </row>
    <row r="4" spans="1:5" x14ac:dyDescent="0.25">
      <c r="A4" s="2" t="s">
        <v>15</v>
      </c>
      <c r="B4" s="2" t="s">
        <v>14</v>
      </c>
      <c r="C4" s="2">
        <f>COUNTIFS('Phân công'!$F$2:$F$26,A4,'Phân công'!$C$2:$C$26,B4)</f>
      </c>
      <c r="D4" s="2">
        <f>COUNTIFS('Phân công'!$F$2:$F$26,A4,'Phân công'!$C$2:$C$26,B4,'Phân công'!$L$2:$L$26,"Done")</f>
      </c>
      <c r="E4" s="6">
        <f>IF(C4=0,"-",D4/C4)</f>
      </c>
    </row>
    <row r="5" spans="1:5" x14ac:dyDescent="0.25">
      <c r="A5" s="2" t="s">
        <v>42</v>
      </c>
      <c r="B5" s="2" t="s">
        <v>22</v>
      </c>
      <c r="C5" s="2">
        <f>COUNTIFS('Phân công'!$F$2:$F$26,A5,'Phân công'!$C$2:$C$26,B5)</f>
      </c>
      <c r="D5" s="2">
        <f>COUNTIFS('Phân công'!$F$2:$F$26,A5,'Phân công'!$C$2:$C$26,B5,'Phân công'!$L$2:$L$26,"Done")</f>
      </c>
      <c r="E5" s="6">
        <f>IF(C5=0,"-",D5/C5)</f>
      </c>
    </row>
    <row r="6" spans="1:5" x14ac:dyDescent="0.25">
      <c r="A6" s="2" t="s">
        <v>42</v>
      </c>
      <c r="B6" s="2" t="s">
        <v>78</v>
      </c>
      <c r="C6" s="2">
        <f>COUNTIFS('Phân công'!$F$2:$F$26,A6,'Phân công'!$C$2:$C$26,B6)</f>
      </c>
      <c r="D6" s="2">
        <f>COUNTIFS('Phân công'!$F$2:$F$26,A6,'Phân công'!$C$2:$C$26,B6,'Phân công'!$L$2:$L$26,"Done")</f>
      </c>
      <c r="E6" s="6">
        <f>IF(C6=0,"-",D6/C6)</f>
      </c>
    </row>
    <row r="7" spans="1:5" x14ac:dyDescent="0.25">
      <c r="A7" s="2" t="s">
        <v>42</v>
      </c>
      <c r="B7" s="2" t="s">
        <v>14</v>
      </c>
      <c r="C7" s="2">
        <f>COUNTIFS('Phân công'!$F$2:$F$26,A7,'Phân công'!$C$2:$C$26,B7)</f>
      </c>
      <c r="D7" s="2">
        <f>COUNTIFS('Phân công'!$F$2:$F$26,A7,'Phân công'!$C$2:$C$26,B7,'Phân công'!$L$2:$L$26,"Done")</f>
      </c>
      <c r="E7" s="6">
        <f>IF(C7=0,"-",D7/C7)</f>
      </c>
    </row>
    <row r="8" spans="1:5" x14ac:dyDescent="0.25">
      <c r="A8" s="2" t="s">
        <v>56</v>
      </c>
      <c r="B8" s="2" t="s">
        <v>22</v>
      </c>
      <c r="C8" s="2">
        <f>COUNTIFS('Phân công'!$F$2:$F$26,A8,'Phân công'!$C$2:$C$26,B8)</f>
      </c>
      <c r="D8" s="2">
        <f>COUNTIFS('Phân công'!$F$2:$F$26,A8,'Phân công'!$C$2:$C$26,B8,'Phân công'!$L$2:$L$26,"Done")</f>
      </c>
      <c r="E8" s="6">
        <f>IF(C8=0,"-",D8/C8)</f>
      </c>
    </row>
    <row r="9" spans="1:5" x14ac:dyDescent="0.25">
      <c r="A9" s="2" t="s">
        <v>56</v>
      </c>
      <c r="B9" s="2" t="s">
        <v>78</v>
      </c>
      <c r="C9" s="2">
        <f>COUNTIFS('Phân công'!$F$2:$F$26,A9,'Phân công'!$C$2:$C$26,B9)</f>
      </c>
      <c r="D9" s="2">
        <f>COUNTIFS('Phân công'!$F$2:$F$26,A9,'Phân công'!$C$2:$C$26,B9,'Phân công'!$L$2:$L$26,"Done")</f>
      </c>
      <c r="E9" s="6">
        <f>IF(C9=0,"-",D9/C9)</f>
      </c>
    </row>
    <row r="10" spans="1:5" x14ac:dyDescent="0.25">
      <c r="A10" s="2" t="s">
        <v>56</v>
      </c>
      <c r="B10" s="2" t="s">
        <v>14</v>
      </c>
      <c r="C10" s="2">
        <f>COUNTIFS('Phân công'!$F$2:$F$26,A10,'Phân công'!$C$2:$C$26,B10)</f>
      </c>
      <c r="D10" s="2">
        <f>COUNTIFS('Phân công'!$F$2:$F$26,A10,'Phân công'!$C$2:$C$26,B10,'Phân công'!$L$2:$L$26,"Done")</f>
      </c>
      <c r="E10" s="6">
        <f>IF(C10=0,"-",D10/C10)</f>
      </c>
    </row>
    <row r="11" spans="1:5" x14ac:dyDescent="0.25">
      <c r="A11" s="7" t="s">
        <v>120</v>
      </c>
      <c r="B11" s="7" t="s">
        <v>121</v>
      </c>
      <c r="C11" s="7">
        <f>SUM(C2:C10)</f>
      </c>
      <c r="D11" s="7">
        <f>SUM(D2:D10)</f>
      </c>
      <c r="E11" s="8">
        <f>IF(C11=0,"-",D11/C11)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2" customWidth="1"/>
    <col min="2" max="3" width="28" customWidth="1"/>
  </cols>
  <sheetData>
    <row r="1" spans="1:3" x14ac:dyDescent="0.25">
      <c r="A1" s="1" t="s">
        <v>2</v>
      </c>
      <c r="B1" s="1" t="s">
        <v>122</v>
      </c>
      <c r="C1" s="1" t="s">
        <v>123</v>
      </c>
    </row>
    <row r="2" spans="1:3" x14ac:dyDescent="0.25">
      <c r="A2" s="2" t="s">
        <v>22</v>
      </c>
      <c r="B2" s="9"/>
      <c r="C2" s="9"/>
    </row>
    <row r="3" spans="1:3" x14ac:dyDescent="0.25">
      <c r="A3" s="2" t="s">
        <v>78</v>
      </c>
      <c r="B3" s="9"/>
      <c r="C3" s="9"/>
    </row>
    <row r="4" spans="1:3" x14ac:dyDescent="0.25">
      <c r="A4" s="2" t="s">
        <v>14</v>
      </c>
      <c r="B4" s="9" t="s">
        <v>124</v>
      </c>
      <c r="C4" s="9" t="s">
        <v>125</v>
      </c>
    </row>
    <row r="6" spans="1:1" x14ac:dyDescent="0.25">
      <c r="A6" s="10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1" width="28" customWidth="1"/>
    <col min="2" max="2" width="22" customWidth="1"/>
    <col min="3" max="3" width="80" customWidth="1"/>
  </cols>
  <sheetData>
    <row r="1" spans="1:3" x14ac:dyDescent="0.25">
      <c r="A1" s="1" t="s">
        <v>127</v>
      </c>
      <c r="B1" s="1" t="s">
        <v>128</v>
      </c>
      <c r="C1" s="1" t="s">
        <v>129</v>
      </c>
    </row>
    <row r="2" spans="1:3" x14ac:dyDescent="0.25">
      <c r="A2" s="2" t="s">
        <v>130</v>
      </c>
      <c r="B2" s="2" t="s">
        <v>78</v>
      </c>
      <c r="C2" s="2" t="s">
        <v>131</v>
      </c>
    </row>
    <row r="3" spans="1:3" x14ac:dyDescent="0.25">
      <c r="A3" s="2" t="s">
        <v>132</v>
      </c>
      <c r="B3" s="2" t="s">
        <v>78</v>
      </c>
      <c r="C3" s="2" t="s">
        <v>133</v>
      </c>
    </row>
    <row r="4" spans="1:3" x14ac:dyDescent="0.25">
      <c r="A4" s="2" t="s">
        <v>134</v>
      </c>
      <c r="B4" s="2" t="s">
        <v>135</v>
      </c>
      <c r="C4" s="2" t="s">
        <v>136</v>
      </c>
    </row>
    <row r="5" spans="1:3" x14ac:dyDescent="0.25">
      <c r="A5" s="2" t="s">
        <v>137</v>
      </c>
      <c r="B5" s="2" t="s">
        <v>138</v>
      </c>
      <c r="C5" s="2" t="s">
        <v>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Phân công</vt:lpstr>
      <vt:lpstr>Tổng quan</vt:lpstr>
      <vt:lpstr>Thành viên</vt:lpstr>
      <vt:lpstr>Điểm nối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2026-09-30T06:43:46Z</dcterms:created>
  <dcterms:modified xsi:type="dcterms:W3CDTF">2026-09-30T06:43:46Z</dcterms:modified>
</cp:coreProperties>
</file>